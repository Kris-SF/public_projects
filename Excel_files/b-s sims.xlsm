
<file path=[Content_Types].xml><?xml version="1.0" encoding="utf-8"?>
<Types xmlns="http://schemas.openxmlformats.org/package/2006/content-types">
  <Default Extension="bin" ContentType="application/vnd.ms-office.vbaProject"/>
  <Default Extension="emf" ContentType="image/x-emf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4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7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kpa32\Downloads\"/>
    </mc:Choice>
  </mc:AlternateContent>
  <xr:revisionPtr revIDLastSave="0" documentId="8_{11C1D0CF-CDE0-4BFE-8068-2460D666FC51}" xr6:coauthVersionLast="47" xr6:coauthVersionMax="47" xr10:uidLastSave="{00000000-0000-0000-0000-000000000000}"/>
  <bookViews>
    <workbookView xWindow="28680" yWindow="-120" windowWidth="29040" windowHeight="15720" firstSheet="3" activeTab="6" xr2:uid="{AEA007BD-6635-4135-9CAD-91519B38C839}"/>
  </bookViews>
  <sheets>
    <sheet name="BS" sheetId="14" r:id="rId1"/>
    <sheet name="Delta Hedged Sim" sheetId="17" r:id="rId2"/>
    <sheet name="Sheet10 (3)" sheetId="18" r:id="rId3"/>
    <sheet name="Sheet1" sheetId="20" r:id="rId4"/>
    <sheet name="Sheet10 (4)" sheetId="19" r:id="rId5"/>
    <sheet name="messing around" sheetId="21" r:id="rId6"/>
    <sheet name="design play" sheetId="23" r:id="rId7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88" i="23" l="1"/>
  <c r="K87" i="23"/>
  <c r="K86" i="23"/>
  <c r="K85" i="23"/>
  <c r="K84" i="23"/>
  <c r="K83" i="23"/>
  <c r="K82" i="23"/>
  <c r="K81" i="23"/>
  <c r="K80" i="23"/>
  <c r="K79" i="23"/>
  <c r="K78" i="23"/>
  <c r="K77" i="23"/>
  <c r="K76" i="23"/>
  <c r="K75" i="23"/>
  <c r="K74" i="23"/>
  <c r="K73" i="23"/>
  <c r="K72" i="23"/>
  <c r="K71" i="23"/>
  <c r="K70" i="23"/>
  <c r="K69" i="23"/>
  <c r="K68" i="23"/>
  <c r="K67" i="23"/>
  <c r="K66" i="23"/>
  <c r="K65" i="23"/>
  <c r="K64" i="23"/>
  <c r="K63" i="23"/>
  <c r="AG60" i="23"/>
  <c r="AG59" i="23"/>
  <c r="AG58" i="23"/>
  <c r="AG57" i="23"/>
  <c r="AG56" i="23"/>
  <c r="AG55" i="23"/>
  <c r="AG54" i="23"/>
  <c r="AG53" i="23"/>
  <c r="AG52" i="23"/>
  <c r="AG51" i="23"/>
  <c r="AG50" i="23"/>
  <c r="AG49" i="23"/>
  <c r="AG48" i="23"/>
  <c r="AG47" i="23"/>
  <c r="AG46" i="23"/>
  <c r="AG45" i="23"/>
  <c r="AG44" i="23"/>
  <c r="AG43" i="23"/>
  <c r="AG42" i="23"/>
  <c r="AG41" i="23"/>
  <c r="AG40" i="23"/>
  <c r="AG39" i="23"/>
  <c r="AG38" i="23"/>
  <c r="AG37" i="23"/>
  <c r="AG36" i="23"/>
  <c r="AG35" i="23"/>
  <c r="V60" i="23"/>
  <c r="V59" i="23"/>
  <c r="V58" i="23"/>
  <c r="V57" i="23"/>
  <c r="V56" i="23"/>
  <c r="V55" i="23"/>
  <c r="V54" i="23"/>
  <c r="V53" i="23"/>
  <c r="V52" i="23"/>
  <c r="V51" i="23"/>
  <c r="V50" i="23"/>
  <c r="V49" i="23"/>
  <c r="V48" i="23"/>
  <c r="V47" i="23"/>
  <c r="V46" i="23"/>
  <c r="V45" i="23"/>
  <c r="V44" i="23"/>
  <c r="V43" i="23"/>
  <c r="V42" i="23"/>
  <c r="V41" i="23"/>
  <c r="V40" i="23"/>
  <c r="V39" i="23"/>
  <c r="V38" i="23"/>
  <c r="V37" i="23"/>
  <c r="V36" i="23"/>
  <c r="V35" i="23"/>
  <c r="K60" i="23"/>
  <c r="K59" i="23"/>
  <c r="K58" i="23"/>
  <c r="K57" i="23"/>
  <c r="K56" i="23"/>
  <c r="K55" i="23"/>
  <c r="K54" i="23"/>
  <c r="K53" i="23"/>
  <c r="K52" i="23"/>
  <c r="K51" i="23"/>
  <c r="K50" i="23"/>
  <c r="K49" i="23"/>
  <c r="K48" i="23"/>
  <c r="K47" i="23"/>
  <c r="K46" i="23"/>
  <c r="K45" i="23"/>
  <c r="K44" i="23"/>
  <c r="K43" i="23"/>
  <c r="K42" i="23"/>
  <c r="K41" i="23"/>
  <c r="K40" i="23"/>
  <c r="K39" i="23"/>
  <c r="K38" i="23"/>
  <c r="K37" i="23"/>
  <c r="K36" i="23"/>
  <c r="K35" i="23"/>
  <c r="V32" i="23"/>
  <c r="V31" i="23"/>
  <c r="V30" i="23"/>
  <c r="V29" i="23"/>
  <c r="V28" i="23"/>
  <c r="V27" i="23"/>
  <c r="V26" i="23"/>
  <c r="V25" i="23"/>
  <c r="V24" i="23"/>
  <c r="V23" i="23"/>
  <c r="V22" i="23"/>
  <c r="V21" i="23"/>
  <c r="V20" i="23"/>
  <c r="V19" i="23"/>
  <c r="V18" i="23"/>
  <c r="V17" i="23"/>
  <c r="V16" i="23"/>
  <c r="V15" i="23"/>
  <c r="V14" i="23"/>
  <c r="V13" i="23"/>
  <c r="V12" i="23"/>
  <c r="V11" i="23"/>
  <c r="V10" i="23"/>
  <c r="V9" i="23"/>
  <c r="V8" i="23"/>
  <c r="V7" i="23"/>
  <c r="K32" i="23"/>
  <c r="K31" i="23"/>
  <c r="K30" i="23"/>
  <c r="K29" i="23"/>
  <c r="K28" i="23"/>
  <c r="K27" i="23"/>
  <c r="K26" i="23"/>
  <c r="K25" i="23"/>
  <c r="K24" i="23"/>
  <c r="K23" i="23"/>
  <c r="K22" i="23"/>
  <c r="K21" i="23"/>
  <c r="K20" i="23"/>
  <c r="K19" i="23"/>
  <c r="K18" i="23"/>
  <c r="K17" i="23"/>
  <c r="K16" i="23"/>
  <c r="K15" i="23"/>
  <c r="K14" i="23"/>
  <c r="K13" i="23"/>
  <c r="K12" i="23"/>
  <c r="K11" i="23"/>
  <c r="K10" i="23"/>
  <c r="K9" i="23"/>
  <c r="K8" i="23"/>
  <c r="K7" i="23"/>
  <c r="J7" i="21"/>
  <c r="J8" i="21"/>
  <c r="J9" i="21"/>
  <c r="J10" i="21"/>
  <c r="J11" i="21"/>
  <c r="J12" i="21"/>
  <c r="J13" i="21"/>
  <c r="J14" i="21"/>
  <c r="J15" i="21"/>
  <c r="J16" i="21"/>
  <c r="J17" i="21"/>
  <c r="J18" i="21"/>
  <c r="J19" i="21"/>
  <c r="J20" i="21"/>
  <c r="J21" i="21"/>
  <c r="J22" i="21"/>
  <c r="J23" i="21"/>
  <c r="J24" i="21"/>
  <c r="J25" i="21"/>
  <c r="J26" i="21"/>
  <c r="J27" i="21"/>
  <c r="J28" i="21"/>
  <c r="J29" i="21"/>
  <c r="J30" i="21"/>
  <c r="J31" i="21"/>
  <c r="J32" i="21"/>
  <c r="D5" i="18"/>
  <c r="L77" i="23" a="1"/>
  <c r="L69" i="23" a="1"/>
  <c r="L88" i="23" a="1"/>
  <c r="L80" i="23" a="1"/>
  <c r="L72" i="23" a="1"/>
  <c r="L64" i="23" a="1"/>
  <c r="L63" i="23" a="1"/>
  <c r="L87" i="23" a="1"/>
  <c r="L86" i="23" a="1"/>
  <c r="L78" i="23" a="1"/>
  <c r="L85" i="23" a="1"/>
  <c r="L76" i="23" a="1"/>
  <c r="L68" i="23" a="1"/>
  <c r="L75" i="23" a="1"/>
  <c r="L67" i="23" a="1"/>
  <c r="L82" i="23" a="1"/>
  <c r="L74" i="23" a="1"/>
  <c r="L66" i="23" a="1"/>
  <c r="L81" i="23" a="1"/>
  <c r="L73" i="23" a="1"/>
  <c r="L65" i="23" a="1"/>
  <c r="L79" i="23" a="1"/>
  <c r="L71" i="23" a="1"/>
  <c r="L70" i="23" a="1"/>
  <c r="L84" i="23" a="1"/>
  <c r="L83" i="23" a="1"/>
  <c r="AH57" i="23" a="1"/>
  <c r="AH49" i="23" a="1"/>
  <c r="AH41" i="23" a="1"/>
  <c r="AH55" i="23" a="1"/>
  <c r="AH43" i="23" a="1"/>
  <c r="AH47" i="23" a="1"/>
  <c r="AH59" i="23" a="1"/>
  <c r="AH51" i="23" a="1"/>
  <c r="AH35" i="23" a="1"/>
  <c r="AH39" i="23" a="1"/>
  <c r="AH60" i="23" a="1"/>
  <c r="AH52" i="23" a="1"/>
  <c r="AH44" i="23" a="1"/>
  <c r="AH36" i="23" a="1"/>
  <c r="AH45" i="23" a="1"/>
  <c r="AH58" i="23" a="1"/>
  <c r="AH50" i="23" a="1"/>
  <c r="AH42" i="23" a="1"/>
  <c r="AH53" i="23" a="1"/>
  <c r="AH46" i="23" a="1"/>
  <c r="AH56" i="23" a="1"/>
  <c r="AH48" i="23" a="1"/>
  <c r="AH40" i="23" a="1"/>
  <c r="AH38" i="23" a="1"/>
  <c r="AH37" i="23" a="1"/>
  <c r="AH54" i="23" a="1"/>
  <c r="W42" i="23" a="1"/>
  <c r="W50" i="23" a="1"/>
  <c r="W54" i="23" a="1"/>
  <c r="W46" i="23" a="1"/>
  <c r="W38" i="23" a="1"/>
  <c r="W58" i="23" a="1"/>
  <c r="W60" i="23" a="1"/>
  <c r="W52" i="23" a="1"/>
  <c r="W49" i="23" a="1"/>
  <c r="W40" i="23" a="1"/>
  <c r="W39" i="23" a="1"/>
  <c r="W37" i="23" a="1"/>
  <c r="W36" i="23" a="1"/>
  <c r="W43" i="23" a="1"/>
  <c r="W57" i="23" a="1"/>
  <c r="W41" i="23" a="1"/>
  <c r="W47" i="23" a="1"/>
  <c r="W45" i="23" a="1"/>
  <c r="W44" i="23" a="1"/>
  <c r="W59" i="23" a="1"/>
  <c r="W56" i="23" a="1"/>
  <c r="W48" i="23" a="1"/>
  <c r="W35" i="23" a="1"/>
  <c r="W55" i="23" a="1"/>
  <c r="W51" i="23" a="1"/>
  <c r="W53" i="23" a="1"/>
  <c r="L38" i="23" a="1"/>
  <c r="L50" i="23" a="1"/>
  <c r="L52" i="23" a="1"/>
  <c r="L44" i="23" a="1"/>
  <c r="L36" i="23" a="1"/>
  <c r="L54" i="23" a="1"/>
  <c r="L42" i="23" a="1"/>
  <c r="L46" i="23" a="1"/>
  <c r="L58" i="23" a="1"/>
  <c r="L60" i="23" a="1"/>
  <c r="L51" i="23" a="1"/>
  <c r="L43" i="23" a="1"/>
  <c r="L35" i="23" a="1"/>
  <c r="L59" i="23" a="1"/>
  <c r="L47" i="23" a="1"/>
  <c r="L49" i="23" a="1"/>
  <c r="L56" i="23" a="1"/>
  <c r="L55" i="23" a="1"/>
  <c r="L57" i="23" a="1"/>
  <c r="L41" i="23" a="1"/>
  <c r="L48" i="23" a="1"/>
  <c r="L40" i="23" a="1"/>
  <c r="L39" i="23" a="1"/>
  <c r="L45" i="23" a="1"/>
  <c r="L37" i="23" a="1"/>
  <c r="L53" i="23" a="1"/>
  <c r="W21" i="23" a="1"/>
  <c r="W13" i="23" a="1"/>
  <c r="W32" i="23" a="1"/>
  <c r="W24" i="23" a="1"/>
  <c r="W16" i="23" a="1"/>
  <c r="W8" i="23" a="1"/>
  <c r="W11" i="23" a="1"/>
  <c r="W10" i="23" a="1"/>
  <c r="W31" i="23" a="1"/>
  <c r="W23" i="23" a="1"/>
  <c r="W15" i="23" a="1"/>
  <c r="W7" i="23" a="1"/>
  <c r="W26" i="23" a="1"/>
  <c r="W30" i="23" a="1"/>
  <c r="W22" i="23" a="1"/>
  <c r="W14" i="23" a="1"/>
  <c r="W18" i="23" a="1"/>
  <c r="W17" i="23" a="1"/>
  <c r="W29" i="23" a="1"/>
  <c r="W27" i="23" a="1"/>
  <c r="W28" i="23" a="1"/>
  <c r="W20" i="23" a="1"/>
  <c r="W12" i="23" a="1"/>
  <c r="W19" i="23" a="1"/>
  <c r="W25" i="23" a="1"/>
  <c r="W9" i="23" a="1"/>
  <c r="L25" i="23" a="1"/>
  <c r="L21" i="23" a="1"/>
  <c r="L9" i="23" a="1"/>
  <c r="L30" i="23" a="1"/>
  <c r="L26" i="23" a="1"/>
  <c r="L22" i="23" a="1"/>
  <c r="L13" i="23" a="1"/>
  <c r="L24" i="23" a="1"/>
  <c r="L10" i="23" a="1"/>
  <c r="L17" i="23" a="1"/>
  <c r="L20" i="23" a="1"/>
  <c r="L19" i="23" a="1"/>
  <c r="L18" i="23" a="1"/>
  <c r="L14" i="23" a="1"/>
  <c r="L32" i="23" a="1"/>
  <c r="L15" i="23" a="1"/>
  <c r="L7" i="23" a="1"/>
  <c r="L27" i="23" a="1"/>
  <c r="L28" i="23" a="1"/>
  <c r="L29" i="23" a="1"/>
  <c r="L11" i="23" a="1"/>
  <c r="K7" i="21" a="1"/>
  <c r="K25" i="21" a="1"/>
  <c r="K17" i="21" a="1"/>
  <c r="K9" i="21" a="1"/>
  <c r="S17" i="17" a="1"/>
  <c r="S9" i="17" a="1"/>
  <c r="AJ26" i="21" a="1"/>
  <c r="AJ13" i="21" a="1"/>
  <c r="K24" i="21" a="1"/>
  <c r="K16" i="21" a="1"/>
  <c r="S16" i="17" a="1"/>
  <c r="K23" i="21" a="1"/>
  <c r="AJ8" i="21" a="1"/>
  <c r="S14" i="17" a="1"/>
  <c r="K32" i="21" a="1"/>
  <c r="K31" i="21" a="1"/>
  <c r="K30" i="21" a="1"/>
  <c r="K29" i="21" a="1"/>
  <c r="K21" i="21" a="1"/>
  <c r="K13" i="21" a="1"/>
  <c r="S21" i="17" a="1"/>
  <c r="S13" i="17" a="1"/>
  <c r="S5" i="17" a="1"/>
  <c r="AJ32" i="21" a="1"/>
  <c r="AJ24" i="21" a="1"/>
  <c r="AJ10" i="21" a="1"/>
  <c r="S15" i="17" a="1"/>
  <c r="K14" i="21" a="1"/>
  <c r="L49" i="21" a="1"/>
  <c r="AJ23" i="21" a="1"/>
  <c r="K28" i="21" a="1"/>
  <c r="K20" i="21" a="1"/>
  <c r="K12" i="21" a="1"/>
  <c r="S20" i="17" a="1"/>
  <c r="S12" i="17" a="1"/>
  <c r="S4" i="17" a="1"/>
  <c r="AJ22" i="21" a="1"/>
  <c r="AJ21" i="21" a="1"/>
  <c r="AJ30" i="21" a="1"/>
  <c r="AJ20" i="21" a="1"/>
  <c r="K8" i="21" a="1"/>
  <c r="AJ25" i="21" a="1"/>
  <c r="AJ14" i="21" a="1"/>
  <c r="S23" i="17" a="1"/>
  <c r="AJ15" i="21" a="1"/>
  <c r="S6" i="17" a="1"/>
  <c r="K27" i="21" a="1"/>
  <c r="K19" i="21" a="1"/>
  <c r="K11" i="21" a="1"/>
  <c r="S19" i="17" a="1"/>
  <c r="S11" i="17" a="1"/>
  <c r="AJ12" i="21" a="1"/>
  <c r="L49" i="20" a="1"/>
  <c r="A20" i="21" a="1"/>
  <c r="K15" i="21" a="1"/>
  <c r="A19" i="21" a="1"/>
  <c r="S22" i="17" a="1"/>
  <c r="K26" i="21" a="1"/>
  <c r="K18" i="21" a="1"/>
  <c r="K10" i="21" a="1"/>
  <c r="S18" i="17" a="1"/>
  <c r="S10" i="17" a="1"/>
  <c r="AJ11" i="21" a="1"/>
  <c r="AJ16" i="21" a="1"/>
  <c r="S8" i="17" a="1"/>
  <c r="S7" i="17" a="1"/>
  <c r="K22" i="21" a="1"/>
  <c r="AJ31" i="21" a="1"/>
  <c r="L83" i="23" l="1"/>
  <c r="L84" i="23"/>
  <c r="L70" i="23"/>
  <c r="L71" i="23"/>
  <c r="L79" i="23"/>
  <c r="L65" i="23"/>
  <c r="L73" i="23"/>
  <c r="L81" i="23"/>
  <c r="L66" i="23"/>
  <c r="L74" i="23"/>
  <c r="L82" i="23"/>
  <c r="L67" i="23"/>
  <c r="L75" i="23"/>
  <c r="L68" i="23"/>
  <c r="L76" i="23"/>
  <c r="L85" i="23"/>
  <c r="L78" i="23"/>
  <c r="L86" i="23"/>
  <c r="L87" i="23"/>
  <c r="L63" i="23"/>
  <c r="L64" i="23"/>
  <c r="L72" i="23"/>
  <c r="L80" i="23"/>
  <c r="L88" i="23"/>
  <c r="L69" i="23"/>
  <c r="L77" i="23"/>
  <c r="AH54" i="23"/>
  <c r="AH37" i="23"/>
  <c r="AH38" i="23"/>
  <c r="AH40" i="23"/>
  <c r="AH48" i="23"/>
  <c r="AH56" i="23"/>
  <c r="AH46" i="23"/>
  <c r="AH53" i="23"/>
  <c r="AH42" i="23"/>
  <c r="AH50" i="23"/>
  <c r="AH58" i="23"/>
  <c r="AH45" i="23"/>
  <c r="AH36" i="23"/>
  <c r="AH44" i="23"/>
  <c r="AH52" i="23"/>
  <c r="AH60" i="23"/>
  <c r="AH39" i="23"/>
  <c r="AH35" i="23"/>
  <c r="AH51" i="23"/>
  <c r="AH59" i="23"/>
  <c r="AH47" i="23"/>
  <c r="AH43" i="23"/>
  <c r="AH55" i="23"/>
  <c r="AH41" i="23"/>
  <c r="AH49" i="23"/>
  <c r="AH57" i="23"/>
  <c r="W53" i="23"/>
  <c r="W51" i="23"/>
  <c r="W55" i="23"/>
  <c r="W35" i="23"/>
  <c r="W48" i="23"/>
  <c r="W56" i="23"/>
  <c r="W59" i="23"/>
  <c r="W44" i="23"/>
  <c r="W45" i="23"/>
  <c r="W47" i="23"/>
  <c r="W41" i="23"/>
  <c r="W57" i="23"/>
  <c r="W43" i="23"/>
  <c r="W36" i="23"/>
  <c r="W37" i="23"/>
  <c r="W39" i="23"/>
  <c r="W40" i="23"/>
  <c r="W49" i="23"/>
  <c r="W52" i="23"/>
  <c r="W60" i="23"/>
  <c r="W58" i="23"/>
  <c r="W38" i="23"/>
  <c r="W46" i="23"/>
  <c r="W54" i="23"/>
  <c r="W50" i="23"/>
  <c r="W42" i="23"/>
  <c r="L53" i="23"/>
  <c r="L37" i="23"/>
  <c r="L45" i="23"/>
  <c r="L39" i="23"/>
  <c r="L40" i="23"/>
  <c r="L48" i="23"/>
  <c r="L41" i="23"/>
  <c r="L57" i="23"/>
  <c r="L55" i="23"/>
  <c r="L56" i="23"/>
  <c r="L49" i="23"/>
  <c r="L47" i="23"/>
  <c r="L59" i="23"/>
  <c r="L35" i="23"/>
  <c r="L43" i="23"/>
  <c r="L51" i="23"/>
  <c r="L60" i="23"/>
  <c r="L58" i="23"/>
  <c r="L46" i="23"/>
  <c r="L42" i="23"/>
  <c r="L54" i="23"/>
  <c r="L36" i="23"/>
  <c r="L44" i="23"/>
  <c r="L52" i="23"/>
  <c r="L50" i="23"/>
  <c r="L38" i="23"/>
  <c r="W9" i="23"/>
  <c r="W25" i="23"/>
  <c r="W19" i="23"/>
  <c r="W12" i="23"/>
  <c r="W20" i="23"/>
  <c r="W28" i="23"/>
  <c r="W27" i="23"/>
  <c r="W29" i="23"/>
  <c r="W17" i="23"/>
  <c r="W18" i="23"/>
  <c r="W14" i="23"/>
  <c r="W22" i="23"/>
  <c r="W30" i="23"/>
  <c r="W26" i="23"/>
  <c r="W7" i="23"/>
  <c r="W15" i="23"/>
  <c r="W23" i="23"/>
  <c r="W31" i="23"/>
  <c r="W10" i="23"/>
  <c r="W11" i="23"/>
  <c r="W8" i="23"/>
  <c r="W16" i="23"/>
  <c r="W24" i="23"/>
  <c r="W32" i="23"/>
  <c r="W13" i="23"/>
  <c r="W21" i="23"/>
  <c r="L11" i="23"/>
  <c r="L29" i="23"/>
  <c r="L28" i="23"/>
  <c r="L27" i="23"/>
  <c r="L7" i="23"/>
  <c r="L15" i="23"/>
  <c r="L32" i="23"/>
  <c r="L14" i="23"/>
  <c r="L18" i="23"/>
  <c r="L19" i="23"/>
  <c r="L20" i="23"/>
  <c r="L17" i="23"/>
  <c r="L10" i="23"/>
  <c r="L24" i="23"/>
  <c r="L13" i="23"/>
  <c r="L22" i="23"/>
  <c r="L26" i="23"/>
  <c r="L30" i="23"/>
  <c r="L9" i="23"/>
  <c r="L21" i="23"/>
  <c r="L25" i="23"/>
  <c r="K22" i="21"/>
  <c r="S7" i="17"/>
  <c r="S8" i="17"/>
  <c r="S10" i="17"/>
  <c r="S18" i="17"/>
  <c r="K10" i="21"/>
  <c r="K18" i="21"/>
  <c r="K26" i="21"/>
  <c r="S22" i="17"/>
  <c r="K15" i="21"/>
  <c r="S11" i="17"/>
  <c r="S19" i="17"/>
  <c r="K11" i="21"/>
  <c r="K19" i="21"/>
  <c r="K27" i="21"/>
  <c r="S6" i="17"/>
  <c r="S23" i="17"/>
  <c r="K8" i="21"/>
  <c r="S4" i="17"/>
  <c r="S12" i="17"/>
  <c r="S20" i="17"/>
  <c r="K12" i="21"/>
  <c r="K20" i="21"/>
  <c r="K28" i="21"/>
  <c r="K14" i="21"/>
  <c r="S15" i="17"/>
  <c r="S5" i="17"/>
  <c r="S13" i="17"/>
  <c r="S21" i="17"/>
  <c r="K13" i="21"/>
  <c r="K21" i="21"/>
  <c r="K29" i="21"/>
  <c r="K30" i="21"/>
  <c r="K31" i="21"/>
  <c r="K32" i="21"/>
  <c r="S14" i="17"/>
  <c r="K23" i="21"/>
  <c r="S16" i="17"/>
  <c r="K16" i="21"/>
  <c r="K24" i="21"/>
  <c r="S9" i="17"/>
  <c r="S17" i="17"/>
  <c r="K9" i="21"/>
  <c r="K17" i="21"/>
  <c r="K25" i="21"/>
  <c r="K7" i="21"/>
  <c r="AJ30" i="21"/>
  <c r="AL30" i="21" s="1"/>
  <c r="AJ10" i="21"/>
  <c r="AL10" i="21" s="1"/>
  <c r="AJ31" i="21"/>
  <c r="AL31" i="21" s="1"/>
  <c r="AJ15" i="21"/>
  <c r="AL15" i="21" s="1"/>
  <c r="AJ14" i="21"/>
  <c r="AL14" i="21" s="1"/>
  <c r="AJ13" i="21"/>
  <c r="AL13" i="21" s="1"/>
  <c r="AJ16" i="21"/>
  <c r="AL16" i="21" s="1"/>
  <c r="AJ20" i="21"/>
  <c r="AL20" i="21" s="1"/>
  <c r="AJ21" i="21"/>
  <c r="AL21" i="21" s="1"/>
  <c r="AJ24" i="21"/>
  <c r="AL24" i="21" s="1"/>
  <c r="AJ23" i="21"/>
  <c r="AL23" i="21" s="1"/>
  <c r="AJ8" i="21"/>
  <c r="AL8" i="21" s="1"/>
  <c r="AJ25" i="21"/>
  <c r="AL25" i="21" s="1"/>
  <c r="AJ26" i="21"/>
  <c r="AL26" i="21" s="1"/>
  <c r="AJ11" i="21"/>
  <c r="AL11" i="21" s="1"/>
  <c r="AJ12" i="21"/>
  <c r="AL12" i="21" s="1"/>
  <c r="AJ22" i="21"/>
  <c r="AL22" i="21" s="1"/>
  <c r="AJ32" i="21"/>
  <c r="AL32" i="21" s="1"/>
  <c r="L49" i="21"/>
  <c r="A19" i="21"/>
  <c r="A20" i="21"/>
  <c r="A21" i="21" s="1"/>
  <c r="L49" i="20"/>
  <c r="J32" i="20"/>
  <c r="J31" i="20"/>
  <c r="J30" i="20"/>
  <c r="J29" i="20"/>
  <c r="J28" i="20"/>
  <c r="J27" i="20"/>
  <c r="J26" i="20"/>
  <c r="J25" i="20"/>
  <c r="J24" i="20"/>
  <c r="J23" i="20"/>
  <c r="J22" i="20"/>
  <c r="J21" i="20"/>
  <c r="J20" i="20"/>
  <c r="J19" i="20"/>
  <c r="J18" i="20"/>
  <c r="J17" i="20"/>
  <c r="J16" i="20"/>
  <c r="J15" i="20"/>
  <c r="J14" i="20"/>
  <c r="J13" i="20"/>
  <c r="J12" i="20"/>
  <c r="J11" i="20"/>
  <c r="J10" i="20"/>
  <c r="J9" i="20"/>
  <c r="J8" i="20"/>
  <c r="J7" i="20"/>
  <c r="BF32" i="19"/>
  <c r="H7" i="19"/>
  <c r="AV4" i="19"/>
  <c r="AW5" i="19" s="1"/>
  <c r="AX6" i="19" s="1"/>
  <c r="AY7" i="19" s="1"/>
  <c r="BA8" i="19" s="1"/>
  <c r="BB9" i="19" s="1"/>
  <c r="BC10" i="19" s="1"/>
  <c r="BD11" i="19" s="1"/>
  <c r="BE12" i="19" s="1"/>
  <c r="BF13" i="19" s="1"/>
  <c r="BG14" i="19" s="1"/>
  <c r="BH15" i="19" s="1"/>
  <c r="BI16" i="19" s="1"/>
  <c r="BJ17" i="19" s="1"/>
  <c r="BK18" i="19" s="1"/>
  <c r="BL19" i="19" s="1"/>
  <c r="BM20" i="19" s="1"/>
  <c r="BN21" i="19" s="1"/>
  <c r="K3" i="18"/>
  <c r="K4" i="18" s="1"/>
  <c r="BJ33" i="18"/>
  <c r="BR22" i="18"/>
  <c r="BB6" i="18"/>
  <c r="BC7" i="18" s="1"/>
  <c r="BD8" i="18" s="1"/>
  <c r="BE9" i="18" s="1"/>
  <c r="BF10" i="18" s="1"/>
  <c r="BG11" i="18" s="1"/>
  <c r="BH12" i="18" s="1"/>
  <c r="BI13" i="18" s="1"/>
  <c r="BJ14" i="18" s="1"/>
  <c r="BK15" i="18" s="1"/>
  <c r="BL16" i="18" s="1"/>
  <c r="BM17" i="18" s="1"/>
  <c r="BN18" i="18" s="1"/>
  <c r="BO19" i="18" s="1"/>
  <c r="BP20" i="18" s="1"/>
  <c r="BQ21" i="18" s="1"/>
  <c r="BA5" i="18"/>
  <c r="AZ4" i="18"/>
  <c r="L8" i="23" a="1"/>
  <c r="L12" i="23" a="1"/>
  <c r="L16" i="23" a="1"/>
  <c r="L23" i="23" a="1"/>
  <c r="L31" i="23" a="1"/>
  <c r="AJ7" i="21" a="1"/>
  <c r="K12" i="20" a="1"/>
  <c r="K27" i="20" a="1"/>
  <c r="K21" i="20" a="1"/>
  <c r="K11" i="20" a="1"/>
  <c r="AJ10" i="20" a="1"/>
  <c r="AJ9" i="20" a="1"/>
  <c r="AJ11" i="20" a="1"/>
  <c r="AJ18" i="20" a="1"/>
  <c r="AJ27" i="20" a="1"/>
  <c r="K10" i="20" a="1"/>
  <c r="K18" i="20" a="1"/>
  <c r="AJ14" i="20" a="1"/>
  <c r="AJ16" i="20" a="1"/>
  <c r="L10" i="19" a="1"/>
  <c r="AJ19" i="21" a="1"/>
  <c r="K31" i="20" a="1"/>
  <c r="AJ7" i="20" a="1"/>
  <c r="K20" i="20" a="1"/>
  <c r="K14" i="20" a="1"/>
  <c r="AJ29" i="20" a="1"/>
  <c r="AJ8" i="20" a="1"/>
  <c r="AJ22" i="20" a="1"/>
  <c r="AJ18" i="21" a="1"/>
  <c r="K30" i="20" a="1"/>
  <c r="K7" i="20" a="1"/>
  <c r="K19" i="20" a="1"/>
  <c r="AJ28" i="20" a="1"/>
  <c r="AJ19" i="20" a="1"/>
  <c r="AJ17" i="21" a="1"/>
  <c r="AJ26" i="20" a="1"/>
  <c r="K26" i="20" a="1"/>
  <c r="AJ29" i="21" a="1"/>
  <c r="K29" i="20" a="1"/>
  <c r="K25" i="20" a="1"/>
  <c r="K17" i="20" a="1"/>
  <c r="AJ13" i="20" a="1"/>
  <c r="AJ23" i="20" a="1"/>
  <c r="AJ25" i="20" a="1"/>
  <c r="AJ28" i="21" a="1"/>
  <c r="K9" i="20" a="1"/>
  <c r="K24" i="20" a="1"/>
  <c r="K16" i="20" a="1"/>
  <c r="AJ12" i="20" a="1"/>
  <c r="AJ21" i="20" a="1"/>
  <c r="AJ20" i="20" a="1"/>
  <c r="AJ31" i="20" a="1"/>
  <c r="AJ17" i="20" a="1"/>
  <c r="K32" i="20" a="1"/>
  <c r="K22" i="20" a="1"/>
  <c r="K13" i="20" a="1"/>
  <c r="AJ32" i="20" a="1"/>
  <c r="AJ24" i="20" a="1"/>
  <c r="AJ27" i="21" a="1"/>
  <c r="K28" i="20" a="1"/>
  <c r="K23" i="20" a="1"/>
  <c r="K15" i="20" a="1"/>
  <c r="AJ15" i="20" a="1"/>
  <c r="AJ9" i="21" a="1"/>
  <c r="K8" i="20" a="1"/>
  <c r="AJ30" i="20" a="1"/>
  <c r="H10" i="19" a="1"/>
  <c r="L31" i="23" l="1"/>
  <c r="L23" i="23"/>
  <c r="L16" i="23"/>
  <c r="L12" i="23"/>
  <c r="L8" i="23"/>
  <c r="AJ27" i="21"/>
  <c r="AL27" i="21" s="1"/>
  <c r="AJ28" i="21"/>
  <c r="AL28" i="21" s="1"/>
  <c r="AJ29" i="21"/>
  <c r="AL29" i="21" s="1"/>
  <c r="AJ17" i="21"/>
  <c r="AL17" i="21" s="1"/>
  <c r="AJ18" i="21"/>
  <c r="AL18" i="21" s="1"/>
  <c r="AJ19" i="21"/>
  <c r="AL19" i="21" s="1"/>
  <c r="AJ7" i="21"/>
  <c r="AL7" i="21" s="1"/>
  <c r="AJ9" i="21"/>
  <c r="AL9" i="21" s="1"/>
  <c r="K14" i="20"/>
  <c r="K11" i="20"/>
  <c r="K13" i="20"/>
  <c r="K15" i="20"/>
  <c r="K16" i="20"/>
  <c r="K17" i="20"/>
  <c r="K18" i="20"/>
  <c r="K19" i="20"/>
  <c r="K20" i="20"/>
  <c r="K21" i="20"/>
  <c r="K22" i="20"/>
  <c r="K23" i="20"/>
  <c r="K24" i="20"/>
  <c r="K25" i="20"/>
  <c r="K26" i="20"/>
  <c r="K7" i="20"/>
  <c r="AJ7" i="20"/>
  <c r="AL7" i="20" s="1"/>
  <c r="K27" i="20"/>
  <c r="K8" i="20"/>
  <c r="K28" i="20"/>
  <c r="K9" i="20"/>
  <c r="K29" i="20"/>
  <c r="K10" i="20"/>
  <c r="K30" i="20"/>
  <c r="K31" i="20"/>
  <c r="K12" i="20"/>
  <c r="K32" i="20"/>
  <c r="AJ19" i="20"/>
  <c r="AL19" i="20" s="1"/>
  <c r="AJ22" i="20"/>
  <c r="AL22" i="20" s="1"/>
  <c r="AJ11" i="20"/>
  <c r="AL11" i="20" s="1"/>
  <c r="AJ24" i="20"/>
  <c r="AL24" i="20" s="1"/>
  <c r="AJ15" i="20"/>
  <c r="AL15" i="20" s="1"/>
  <c r="AJ20" i="20"/>
  <c r="AL20" i="20" s="1"/>
  <c r="AJ25" i="20"/>
  <c r="AL25" i="20" s="1"/>
  <c r="AJ16" i="20"/>
  <c r="AL16" i="20" s="1"/>
  <c r="AJ27" i="20"/>
  <c r="AL27" i="20" s="1"/>
  <c r="AJ8" i="20"/>
  <c r="AL8" i="20" s="1"/>
  <c r="AJ9" i="20"/>
  <c r="AL9" i="20" s="1"/>
  <c r="AJ32" i="20"/>
  <c r="AL32" i="20" s="1"/>
  <c r="AJ17" i="20"/>
  <c r="AL17" i="20" s="1"/>
  <c r="AJ21" i="20"/>
  <c r="AL21" i="20" s="1"/>
  <c r="AJ23" i="20"/>
  <c r="AL23" i="20" s="1"/>
  <c r="AJ26" i="20"/>
  <c r="AL26" i="20" s="1"/>
  <c r="AJ28" i="20"/>
  <c r="AL28" i="20" s="1"/>
  <c r="AJ29" i="20"/>
  <c r="AL29" i="20" s="1"/>
  <c r="AJ10" i="20"/>
  <c r="AL10" i="20" s="1"/>
  <c r="AJ30" i="20"/>
  <c r="AL30" i="20" s="1"/>
  <c r="AJ31" i="20"/>
  <c r="AL31" i="20" s="1"/>
  <c r="AJ12" i="20"/>
  <c r="AL12" i="20" s="1"/>
  <c r="AJ13" i="20"/>
  <c r="AL13" i="20" s="1"/>
  <c r="AJ14" i="20"/>
  <c r="AL14" i="20" s="1"/>
  <c r="AJ18" i="20"/>
  <c r="AL18" i="20" s="1"/>
  <c r="L10" i="19"/>
  <c r="H10" i="19"/>
  <c r="E4" i="17"/>
  <c r="D4" i="17"/>
  <c r="D5" i="17" s="1"/>
  <c r="B8" i="17"/>
  <c r="B47" i="18"/>
  <c r="F12" i="18"/>
  <c r="Q12" i="18" s="1"/>
  <c r="Q11" i="18"/>
  <c r="H11" i="18"/>
  <c r="S11" i="18" s="1"/>
  <c r="T10" i="18"/>
  <c r="S10" i="18"/>
  <c r="R10" i="18"/>
  <c r="J11" i="18" a="1"/>
  <c r="J12" i="18" a="1"/>
  <c r="N12" i="18" a="1"/>
  <c r="N11" i="18" a="1"/>
  <c r="I10" i="19" l="1"/>
  <c r="K10" i="19" s="1"/>
  <c r="N10" i="19" s="1"/>
  <c r="J10" i="19"/>
  <c r="O10" i="19" s="1"/>
  <c r="M10" i="19"/>
  <c r="F5" i="17"/>
  <c r="E5" i="17"/>
  <c r="D6" i="17"/>
  <c r="F4" i="17"/>
  <c r="N12" i="18"/>
  <c r="J11" i="18"/>
  <c r="N11" i="18"/>
  <c r="J12" i="18"/>
  <c r="H12" i="18"/>
  <c r="F13" i="18"/>
  <c r="B47" i="14"/>
  <c r="S10" i="14"/>
  <c r="R10" i="14"/>
  <c r="P11" i="14"/>
  <c r="F14" i="14"/>
  <c r="F15" i="14" s="1"/>
  <c r="F12" i="14"/>
  <c r="F13" i="14" s="1"/>
  <c r="P13" i="14" s="1"/>
  <c r="Q10" i="14"/>
  <c r="L12" i="14"/>
  <c r="L11" i="14"/>
  <c r="P4" i="17"/>
  <c r="N13" i="18" a="1"/>
  <c r="K12" i="14" a="1"/>
  <c r="G12" i="14" a="1"/>
  <c r="P5" i="17"/>
  <c r="J13" i="18" a="1"/>
  <c r="G11" i="14" a="1"/>
  <c r="G4" i="17" a="1"/>
  <c r="G13" i="14" a="1"/>
  <c r="K13" i="14" a="1"/>
  <c r="G5" i="17" a="1"/>
  <c r="K11" i="14" a="1"/>
  <c r="G11" i="18" l="1"/>
  <c r="R11" i="18" s="1"/>
  <c r="O11" i="18"/>
  <c r="G12" i="18"/>
  <c r="R12" i="18" s="1"/>
  <c r="O12" i="18"/>
  <c r="Q4" i="17"/>
  <c r="R4" i="17" s="1"/>
  <c r="G4" i="17"/>
  <c r="Q5" i="17"/>
  <c r="R5" i="17" s="1"/>
  <c r="H5" i="17"/>
  <c r="I5" i="17" s="1"/>
  <c r="G5" i="17"/>
  <c r="D7" i="17"/>
  <c r="F6" i="17"/>
  <c r="E6" i="17"/>
  <c r="H4" i="17"/>
  <c r="I4" i="17" s="1"/>
  <c r="N13" i="18"/>
  <c r="J13" i="18"/>
  <c r="Q13" i="18"/>
  <c r="F14" i="18"/>
  <c r="H13" i="18"/>
  <c r="S12" i="18"/>
  <c r="K12" i="18"/>
  <c r="L12" i="18"/>
  <c r="M12" i="18" s="1"/>
  <c r="K11" i="18"/>
  <c r="L11" i="18"/>
  <c r="M11" i="18" s="1"/>
  <c r="F16" i="14"/>
  <c r="P15" i="14"/>
  <c r="P14" i="14"/>
  <c r="P12" i="14"/>
  <c r="L13" i="14"/>
  <c r="L14" i="14"/>
  <c r="K13" i="14"/>
  <c r="K12" i="14"/>
  <c r="K11" i="14"/>
  <c r="G13" i="14"/>
  <c r="G12" i="14"/>
  <c r="G11" i="14"/>
  <c r="I11" i="14" s="1"/>
  <c r="J11" i="14" s="1"/>
  <c r="Q11" i="14" s="1"/>
  <c r="N14" i="18" a="1"/>
  <c r="J14" i="18" a="1"/>
  <c r="K14" i="14" a="1"/>
  <c r="G6" i="17" a="1"/>
  <c r="G14" i="14" a="1"/>
  <c r="P6" i="17"/>
  <c r="H11" i="14" l="1"/>
  <c r="R11" i="14" s="1"/>
  <c r="I12" i="18"/>
  <c r="T12" i="18" s="1"/>
  <c r="I11" i="18"/>
  <c r="T11" i="18" s="1"/>
  <c r="G13" i="18"/>
  <c r="R13" i="18" s="1"/>
  <c r="O13" i="18"/>
  <c r="K6" i="17"/>
  <c r="J5" i="17"/>
  <c r="M5" i="17" s="1"/>
  <c r="G6" i="17"/>
  <c r="Q6" i="17"/>
  <c r="R6" i="17" s="1"/>
  <c r="H6" i="17"/>
  <c r="I6" i="17" s="1"/>
  <c r="D8" i="17"/>
  <c r="F7" i="17"/>
  <c r="E7" i="17"/>
  <c r="J14" i="18"/>
  <c r="N14" i="18"/>
  <c r="S13" i="18"/>
  <c r="Q14" i="18"/>
  <c r="H14" i="18"/>
  <c r="F15" i="18"/>
  <c r="L13" i="18"/>
  <c r="M13" i="18" s="1"/>
  <c r="K13" i="18"/>
  <c r="K5" i="17"/>
  <c r="M12" i="14"/>
  <c r="S12" i="14"/>
  <c r="M11" i="14"/>
  <c r="S11" i="14"/>
  <c r="M13" i="14"/>
  <c r="S13" i="14"/>
  <c r="F17" i="14"/>
  <c r="P16" i="14"/>
  <c r="G14" i="14"/>
  <c r="H14" i="14" s="1"/>
  <c r="R14" i="14" s="1"/>
  <c r="K14" i="14"/>
  <c r="S14" i="14" s="1"/>
  <c r="H12" i="14"/>
  <c r="R12" i="14" s="1"/>
  <c r="I12" i="14"/>
  <c r="J12" i="14" s="1"/>
  <c r="Q12" i="14" s="1"/>
  <c r="H13" i="14"/>
  <c r="R13" i="14" s="1"/>
  <c r="I13" i="14"/>
  <c r="J13" i="14" s="1"/>
  <c r="Q13" i="14" s="1"/>
  <c r="G15" i="14" a="1"/>
  <c r="J15" i="18" a="1"/>
  <c r="N15" i="18" a="1"/>
  <c r="K15" i="14" a="1"/>
  <c r="P7" i="17"/>
  <c r="G7" i="17" a="1"/>
  <c r="I13" i="18" l="1"/>
  <c r="T13" i="18" s="1"/>
  <c r="G14" i="18"/>
  <c r="R14" i="18" s="1"/>
  <c r="O14" i="18"/>
  <c r="G7" i="17"/>
  <c r="Q7" i="17"/>
  <c r="R7" i="17" s="1"/>
  <c r="H7" i="17"/>
  <c r="I7" i="17" s="1"/>
  <c r="J6" i="17"/>
  <c r="D9" i="17"/>
  <c r="F8" i="17"/>
  <c r="E8" i="17"/>
  <c r="K7" i="17"/>
  <c r="N7" i="17" s="1"/>
  <c r="L5" i="17"/>
  <c r="N6" i="17"/>
  <c r="N5" i="17"/>
  <c r="O5" i="17" s="1"/>
  <c r="N15" i="18"/>
  <c r="J15" i="18"/>
  <c r="S14" i="18"/>
  <c r="F16" i="18"/>
  <c r="Q15" i="18"/>
  <c r="H15" i="18"/>
  <c r="K14" i="18"/>
  <c r="L14" i="18"/>
  <c r="M14" i="18" s="1"/>
  <c r="M14" i="14"/>
  <c r="F18" i="14"/>
  <c r="P17" i="14"/>
  <c r="G15" i="14"/>
  <c r="K15" i="14"/>
  <c r="S15" i="14" s="1"/>
  <c r="I14" i="14"/>
  <c r="J14" i="14" s="1"/>
  <c r="Q14" i="14" s="1"/>
  <c r="L15" i="14"/>
  <c r="K16" i="14" a="1"/>
  <c r="G8" i="17" a="1"/>
  <c r="P8" i="17"/>
  <c r="G16" i="14" a="1"/>
  <c r="J16" i="18" a="1"/>
  <c r="N16" i="18" a="1"/>
  <c r="I14" i="18" l="1"/>
  <c r="T14" i="18" s="1"/>
  <c r="G15" i="18"/>
  <c r="R15" i="18" s="1"/>
  <c r="O15" i="18"/>
  <c r="G8" i="17"/>
  <c r="J8" i="17" s="1"/>
  <c r="Q8" i="17"/>
  <c r="R8" i="17" s="1"/>
  <c r="H8" i="17"/>
  <c r="I8" i="17" s="1"/>
  <c r="L6" i="17"/>
  <c r="M6" i="17"/>
  <c r="O6" i="17" s="1"/>
  <c r="D10" i="17"/>
  <c r="F9" i="17"/>
  <c r="E9" i="17"/>
  <c r="J7" i="17"/>
  <c r="M7" i="17" s="1"/>
  <c r="O7" i="17" s="1"/>
  <c r="K8" i="17"/>
  <c r="J16" i="18"/>
  <c r="N16" i="18"/>
  <c r="S15" i="18"/>
  <c r="H16" i="18"/>
  <c r="F17" i="18"/>
  <c r="Q16" i="18"/>
  <c r="L15" i="18"/>
  <c r="M15" i="18" s="1"/>
  <c r="K15" i="18"/>
  <c r="F19" i="14"/>
  <c r="P18" i="14"/>
  <c r="G16" i="14"/>
  <c r="K16" i="14"/>
  <c r="S16" i="14" s="1"/>
  <c r="I15" i="14"/>
  <c r="J15" i="14" s="1"/>
  <c r="Q15" i="14" s="1"/>
  <c r="H15" i="14"/>
  <c r="R15" i="14" s="1"/>
  <c r="M15" i="14"/>
  <c r="L16" i="14"/>
  <c r="N17" i="18" a="1"/>
  <c r="G17" i="14" a="1"/>
  <c r="K17" i="14" a="1"/>
  <c r="P9" i="17"/>
  <c r="G9" i="17" a="1"/>
  <c r="J17" i="18" a="1"/>
  <c r="I15" i="18" l="1"/>
  <c r="T15" i="18" s="1"/>
  <c r="G16" i="18"/>
  <c r="R16" i="18" s="1"/>
  <c r="O16" i="18"/>
  <c r="G9" i="17"/>
  <c r="J9" i="17" s="1"/>
  <c r="Q9" i="17"/>
  <c r="R9" i="17" s="1"/>
  <c r="H9" i="17"/>
  <c r="I9" i="17" s="1"/>
  <c r="L8" i="17"/>
  <c r="M8" i="17"/>
  <c r="N8" i="17"/>
  <c r="L7" i="17"/>
  <c r="K9" i="17"/>
  <c r="D11" i="17"/>
  <c r="F10" i="17"/>
  <c r="E10" i="17"/>
  <c r="N17" i="18"/>
  <c r="J17" i="18"/>
  <c r="Q17" i="18"/>
  <c r="F18" i="18"/>
  <c r="H17" i="18"/>
  <c r="S16" i="18"/>
  <c r="L16" i="18"/>
  <c r="M16" i="18" s="1"/>
  <c r="K16" i="18"/>
  <c r="F20" i="14"/>
  <c r="P19" i="14"/>
  <c r="G17" i="14"/>
  <c r="K17" i="14"/>
  <c r="S17" i="14" s="1"/>
  <c r="H16" i="14"/>
  <c r="R16" i="14" s="1"/>
  <c r="I16" i="14"/>
  <c r="J16" i="14" s="1"/>
  <c r="Q16" i="14" s="1"/>
  <c r="M16" i="14"/>
  <c r="L17" i="14"/>
  <c r="P10" i="17"/>
  <c r="J18" i="18" a="1"/>
  <c r="N18" i="18" a="1"/>
  <c r="G18" i="14" a="1"/>
  <c r="K18" i="14" a="1"/>
  <c r="G10" i="17" a="1"/>
  <c r="I16" i="18" l="1"/>
  <c r="T16" i="18" s="1"/>
  <c r="G17" i="18"/>
  <c r="R17" i="18" s="1"/>
  <c r="O17" i="18"/>
  <c r="G10" i="17"/>
  <c r="Q10" i="17"/>
  <c r="R10" i="17" s="1"/>
  <c r="H10" i="17"/>
  <c r="I10" i="17" s="1"/>
  <c r="M9" i="17"/>
  <c r="O8" i="17"/>
  <c r="L9" i="17"/>
  <c r="N9" i="17"/>
  <c r="K10" i="17"/>
  <c r="D12" i="17"/>
  <c r="F11" i="17"/>
  <c r="E11" i="17"/>
  <c r="N18" i="18"/>
  <c r="J18" i="18"/>
  <c r="S17" i="18"/>
  <c r="Q18" i="18"/>
  <c r="F19" i="18"/>
  <c r="H18" i="18"/>
  <c r="L17" i="18"/>
  <c r="M17" i="18" s="1"/>
  <c r="K17" i="18"/>
  <c r="F21" i="14"/>
  <c r="P20" i="14"/>
  <c r="K18" i="14"/>
  <c r="S18" i="14" s="1"/>
  <c r="G18" i="14"/>
  <c r="M17" i="14"/>
  <c r="L18" i="14"/>
  <c r="H17" i="14"/>
  <c r="R17" i="14" s="1"/>
  <c r="I17" i="14"/>
  <c r="J17" i="14" s="1"/>
  <c r="Q17" i="14" s="1"/>
  <c r="G19" i="14" a="1"/>
  <c r="K19" i="14" a="1"/>
  <c r="J19" i="18" a="1"/>
  <c r="N19" i="18" a="1"/>
  <c r="P11" i="17"/>
  <c r="G11" i="17" a="1"/>
  <c r="O9" i="17" l="1"/>
  <c r="I17" i="18"/>
  <c r="T17" i="18" s="1"/>
  <c r="G18" i="18"/>
  <c r="R18" i="18" s="1"/>
  <c r="O18" i="18"/>
  <c r="G11" i="17"/>
  <c r="J11" i="17" s="1"/>
  <c r="Q11" i="17"/>
  <c r="R11" i="17" s="1"/>
  <c r="H11" i="17"/>
  <c r="I11" i="17" s="1"/>
  <c r="N10" i="17"/>
  <c r="D13" i="17"/>
  <c r="F12" i="17"/>
  <c r="E12" i="17"/>
  <c r="K11" i="17"/>
  <c r="J10" i="17"/>
  <c r="L10" i="17" s="1"/>
  <c r="N19" i="18"/>
  <c r="J19" i="18"/>
  <c r="S18" i="18"/>
  <c r="F20" i="18"/>
  <c r="H19" i="18"/>
  <c r="Q19" i="18"/>
  <c r="L18" i="18"/>
  <c r="M18" i="18" s="1"/>
  <c r="K18" i="18"/>
  <c r="F22" i="14"/>
  <c r="P21" i="14"/>
  <c r="G19" i="14"/>
  <c r="K19" i="14"/>
  <c r="S19" i="14" s="1"/>
  <c r="M18" i="14"/>
  <c r="L19" i="14"/>
  <c r="I18" i="14"/>
  <c r="J18" i="14" s="1"/>
  <c r="Q18" i="14" s="1"/>
  <c r="H18" i="14"/>
  <c r="R18" i="14" s="1"/>
  <c r="K20" i="14" a="1"/>
  <c r="J20" i="18" a="1"/>
  <c r="G12" i="17" a="1"/>
  <c r="N20" i="18" a="1"/>
  <c r="G20" i="14" a="1"/>
  <c r="P12" i="17"/>
  <c r="E13" i="17" l="1"/>
  <c r="I18" i="18"/>
  <c r="T18" i="18" s="1"/>
  <c r="G19" i="18"/>
  <c r="R19" i="18" s="1"/>
  <c r="O19" i="18"/>
  <c r="K12" i="17"/>
  <c r="N12" i="17" s="1"/>
  <c r="L11" i="17"/>
  <c r="G12" i="17"/>
  <c r="Q12" i="17"/>
  <c r="R12" i="17" s="1"/>
  <c r="H12" i="17"/>
  <c r="I12" i="17" s="1"/>
  <c r="K13" i="17" s="1"/>
  <c r="D14" i="17"/>
  <c r="F13" i="17"/>
  <c r="M10" i="17"/>
  <c r="O10" i="17" s="1"/>
  <c r="M11" i="17"/>
  <c r="N11" i="17"/>
  <c r="N20" i="18"/>
  <c r="J20" i="18"/>
  <c r="S19" i="18"/>
  <c r="H20" i="18"/>
  <c r="F21" i="18"/>
  <c r="Q20" i="18"/>
  <c r="L19" i="18"/>
  <c r="M19" i="18" s="1"/>
  <c r="K19" i="18"/>
  <c r="F23" i="14"/>
  <c r="P22" i="14"/>
  <c r="G20" i="14"/>
  <c r="K20" i="14"/>
  <c r="S20" i="14" s="1"/>
  <c r="L20" i="14"/>
  <c r="I19" i="14"/>
  <c r="J19" i="14" s="1"/>
  <c r="Q19" i="14" s="1"/>
  <c r="H19" i="14"/>
  <c r="R19" i="14" s="1"/>
  <c r="M19" i="14"/>
  <c r="P13" i="17"/>
  <c r="K21" i="14" a="1"/>
  <c r="N21" i="18" a="1"/>
  <c r="J21" i="18" a="1"/>
  <c r="G21" i="14" a="1"/>
  <c r="G13" i="17" a="1"/>
  <c r="I19" i="18" l="1"/>
  <c r="T19" i="18" s="1"/>
  <c r="G20" i="18"/>
  <c r="R20" i="18" s="1"/>
  <c r="O20" i="18"/>
  <c r="N13" i="17"/>
  <c r="G13" i="17"/>
  <c r="J13" i="17" s="1"/>
  <c r="L13" i="17" s="1"/>
  <c r="Q13" i="17"/>
  <c r="R13" i="17" s="1"/>
  <c r="H13" i="17"/>
  <c r="I13" i="17" s="1"/>
  <c r="D15" i="17"/>
  <c r="F14" i="17"/>
  <c r="E14" i="17"/>
  <c r="J12" i="17"/>
  <c r="O11" i="17"/>
  <c r="N21" i="18"/>
  <c r="J21" i="18"/>
  <c r="H21" i="18"/>
  <c r="Q21" i="18"/>
  <c r="F22" i="18"/>
  <c r="S20" i="18"/>
  <c r="K20" i="18"/>
  <c r="L20" i="18"/>
  <c r="M20" i="18" s="1"/>
  <c r="F24" i="14"/>
  <c r="P23" i="14"/>
  <c r="M20" i="14"/>
  <c r="G21" i="14"/>
  <c r="K21" i="14"/>
  <c r="S21" i="14" s="1"/>
  <c r="L21" i="14"/>
  <c r="H20" i="14"/>
  <c r="R20" i="14" s="1"/>
  <c r="I20" i="14"/>
  <c r="J20" i="14" s="1"/>
  <c r="Q20" i="14" s="1"/>
  <c r="N22" i="18" a="1"/>
  <c r="K22" i="14" a="1"/>
  <c r="J22" i="18" a="1"/>
  <c r="G22" i="14" a="1"/>
  <c r="G14" i="17" a="1"/>
  <c r="P14" i="17"/>
  <c r="E15" i="17" l="1"/>
  <c r="I20" i="18"/>
  <c r="T20" i="18" s="1"/>
  <c r="G21" i="18"/>
  <c r="R21" i="18" s="1"/>
  <c r="O21" i="18"/>
  <c r="G14" i="17"/>
  <c r="J14" i="17" s="1"/>
  <c r="M14" i="17" s="1"/>
  <c r="Q14" i="17"/>
  <c r="R14" i="17" s="1"/>
  <c r="H14" i="17"/>
  <c r="I14" i="17" s="1"/>
  <c r="M12" i="17"/>
  <c r="O12" i="17" s="1"/>
  <c r="M13" i="17"/>
  <c r="O13" i="17" s="1"/>
  <c r="L12" i="17"/>
  <c r="D16" i="17"/>
  <c r="F15" i="17"/>
  <c r="K14" i="17"/>
  <c r="N22" i="18"/>
  <c r="J22" i="18"/>
  <c r="Q22" i="18"/>
  <c r="F23" i="18"/>
  <c r="H22" i="18"/>
  <c r="S21" i="18"/>
  <c r="L21" i="18"/>
  <c r="M21" i="18" s="1"/>
  <c r="K21" i="18"/>
  <c r="M21" i="14"/>
  <c r="F25" i="14"/>
  <c r="P24" i="14"/>
  <c r="K22" i="14"/>
  <c r="S22" i="14" s="1"/>
  <c r="G22" i="14"/>
  <c r="H21" i="14"/>
  <c r="R21" i="14" s="1"/>
  <c r="I21" i="14"/>
  <c r="J21" i="14" s="1"/>
  <c r="Q21" i="14" s="1"/>
  <c r="L22" i="14"/>
  <c r="N23" i="18" a="1"/>
  <c r="P15" i="17"/>
  <c r="J23" i="18" a="1"/>
  <c r="G15" i="17" a="1"/>
  <c r="G23" i="14" a="1"/>
  <c r="K23" i="14" a="1"/>
  <c r="K15" i="17" l="1"/>
  <c r="N15" i="17" s="1"/>
  <c r="I21" i="18"/>
  <c r="T21" i="18" s="1"/>
  <c r="G22" i="18"/>
  <c r="R22" i="18" s="1"/>
  <c r="O22" i="18"/>
  <c r="G15" i="17"/>
  <c r="J15" i="17" s="1"/>
  <c r="Q15" i="17"/>
  <c r="R15" i="17" s="1"/>
  <c r="H15" i="17"/>
  <c r="I15" i="17" s="1"/>
  <c r="D17" i="17"/>
  <c r="F16" i="17"/>
  <c r="E16" i="17"/>
  <c r="E17" i="17" s="1"/>
  <c r="L14" i="17"/>
  <c r="N14" i="17"/>
  <c r="O14" i="17" s="1"/>
  <c r="J23" i="18"/>
  <c r="N23" i="18"/>
  <c r="S22" i="18"/>
  <c r="H23" i="18"/>
  <c r="F24" i="18"/>
  <c r="Q23" i="18"/>
  <c r="L22" i="18"/>
  <c r="M22" i="18" s="1"/>
  <c r="K22" i="18"/>
  <c r="F26" i="14"/>
  <c r="P25" i="14"/>
  <c r="K23" i="14"/>
  <c r="S23" i="14" s="1"/>
  <c r="G23" i="14"/>
  <c r="M22" i="14"/>
  <c r="L23" i="14"/>
  <c r="H22" i="14"/>
  <c r="R22" i="14" s="1"/>
  <c r="I22" i="14"/>
  <c r="J22" i="14" s="1"/>
  <c r="Q22" i="14" s="1"/>
  <c r="N24" i="18" a="1"/>
  <c r="G24" i="14" a="1"/>
  <c r="K24" i="14" a="1"/>
  <c r="G16" i="17" a="1"/>
  <c r="J24" i="18" a="1"/>
  <c r="P16" i="17"/>
  <c r="I22" i="18" l="1"/>
  <c r="T22" i="18" s="1"/>
  <c r="G23" i="18"/>
  <c r="R23" i="18" s="1"/>
  <c r="O23" i="18"/>
  <c r="G16" i="17"/>
  <c r="J16" i="17" s="1"/>
  <c r="Q16" i="17"/>
  <c r="R16" i="17" s="1"/>
  <c r="H16" i="17"/>
  <c r="I16" i="17" s="1"/>
  <c r="K17" i="17" s="1"/>
  <c r="M15" i="17"/>
  <c r="O15" i="17" s="1"/>
  <c r="L15" i="17"/>
  <c r="D18" i="17"/>
  <c r="F17" i="17"/>
  <c r="K16" i="17"/>
  <c r="N24" i="18"/>
  <c r="J24" i="18"/>
  <c r="H24" i="18"/>
  <c r="F25" i="18"/>
  <c r="Q24" i="18"/>
  <c r="S23" i="18"/>
  <c r="L23" i="18"/>
  <c r="M23" i="18" s="1"/>
  <c r="K23" i="18"/>
  <c r="F27" i="14"/>
  <c r="P26" i="14"/>
  <c r="K24" i="14"/>
  <c r="S24" i="14" s="1"/>
  <c r="G24" i="14"/>
  <c r="M23" i="14"/>
  <c r="L24" i="14"/>
  <c r="I23" i="14"/>
  <c r="J23" i="14" s="1"/>
  <c r="Q23" i="14" s="1"/>
  <c r="H23" i="14"/>
  <c r="R23" i="14" s="1"/>
  <c r="K25" i="14" a="1"/>
  <c r="G17" i="17" a="1"/>
  <c r="G25" i="14" a="1"/>
  <c r="N25" i="18" a="1"/>
  <c r="P17" i="17"/>
  <c r="J25" i="18" a="1"/>
  <c r="I23" i="18" l="1"/>
  <c r="T23" i="18" s="1"/>
  <c r="G24" i="18"/>
  <c r="R24" i="18" s="1"/>
  <c r="O24" i="18"/>
  <c r="G17" i="17"/>
  <c r="J17" i="17" s="1"/>
  <c r="M17" i="17" s="1"/>
  <c r="Q17" i="17"/>
  <c r="R17" i="17" s="1"/>
  <c r="H17" i="17"/>
  <c r="I17" i="17" s="1"/>
  <c r="L16" i="17"/>
  <c r="M16" i="17"/>
  <c r="N16" i="17"/>
  <c r="D19" i="17"/>
  <c r="F18" i="17"/>
  <c r="E18" i="17"/>
  <c r="N17" i="17"/>
  <c r="J25" i="18"/>
  <c r="N25" i="18"/>
  <c r="H25" i="18"/>
  <c r="F26" i="18"/>
  <c r="Q25" i="18"/>
  <c r="S24" i="18"/>
  <c r="K24" i="18"/>
  <c r="L24" i="18"/>
  <c r="M24" i="18" s="1"/>
  <c r="F28" i="14"/>
  <c r="P27" i="14"/>
  <c r="G25" i="14"/>
  <c r="K25" i="14"/>
  <c r="S25" i="14" s="1"/>
  <c r="M24" i="14"/>
  <c r="L25" i="14"/>
  <c r="H24" i="14"/>
  <c r="R24" i="14" s="1"/>
  <c r="I24" i="14"/>
  <c r="J24" i="14" s="1"/>
  <c r="Q24" i="14" s="1"/>
  <c r="P18" i="17"/>
  <c r="K26" i="14" a="1"/>
  <c r="G18" i="17" a="1"/>
  <c r="J26" i="18" a="1"/>
  <c r="G26" i="14" a="1"/>
  <c r="N26" i="18" a="1"/>
  <c r="M25" i="14" l="1"/>
  <c r="I24" i="18"/>
  <c r="T24" i="18" s="1"/>
  <c r="G25" i="18"/>
  <c r="R25" i="18" s="1"/>
  <c r="O25" i="18"/>
  <c r="E19" i="17"/>
  <c r="G18" i="17"/>
  <c r="J18" i="17" s="1"/>
  <c r="Q18" i="17"/>
  <c r="R18" i="17" s="1"/>
  <c r="H18" i="17"/>
  <c r="I18" i="17" s="1"/>
  <c r="O17" i="17"/>
  <c r="L17" i="17"/>
  <c r="D20" i="17"/>
  <c r="F19" i="17"/>
  <c r="O16" i="17"/>
  <c r="K18" i="17"/>
  <c r="N18" i="17" s="1"/>
  <c r="N26" i="18"/>
  <c r="J26" i="18"/>
  <c r="Q26" i="18"/>
  <c r="F27" i="18"/>
  <c r="H26" i="18"/>
  <c r="S25" i="18"/>
  <c r="L25" i="18"/>
  <c r="M25" i="18" s="1"/>
  <c r="K25" i="18"/>
  <c r="F29" i="14"/>
  <c r="P28" i="14"/>
  <c r="K26" i="14"/>
  <c r="S26" i="14" s="1"/>
  <c r="G26" i="14"/>
  <c r="L26" i="14"/>
  <c r="H25" i="14"/>
  <c r="R25" i="14" s="1"/>
  <c r="I25" i="14"/>
  <c r="J25" i="14" s="1"/>
  <c r="Q25" i="14" s="1"/>
  <c r="G19" i="17" a="1"/>
  <c r="G27" i="14" a="1"/>
  <c r="K27" i="14" a="1"/>
  <c r="N27" i="18" a="1"/>
  <c r="P19" i="17"/>
  <c r="J27" i="18" a="1"/>
  <c r="M26" i="14" l="1"/>
  <c r="I25" i="18"/>
  <c r="T25" i="18" s="1"/>
  <c r="G26" i="18"/>
  <c r="R26" i="18" s="1"/>
  <c r="O26" i="18"/>
  <c r="K19" i="17"/>
  <c r="N19" i="17" s="1"/>
  <c r="G19" i="17"/>
  <c r="J19" i="17" s="1"/>
  <c r="M19" i="17" s="1"/>
  <c r="Q19" i="17"/>
  <c r="R19" i="17" s="1"/>
  <c r="H19" i="17"/>
  <c r="I19" i="17" s="1"/>
  <c r="L18" i="17"/>
  <c r="M18" i="17"/>
  <c r="O18" i="17" s="1"/>
  <c r="D21" i="17"/>
  <c r="F20" i="17"/>
  <c r="E20" i="17"/>
  <c r="J27" i="18"/>
  <c r="N27" i="18"/>
  <c r="S26" i="18"/>
  <c r="H27" i="18"/>
  <c r="F28" i="18"/>
  <c r="Q27" i="18"/>
  <c r="K26" i="18"/>
  <c r="L26" i="18"/>
  <c r="M26" i="18" s="1"/>
  <c r="F30" i="14"/>
  <c r="P29" i="14"/>
  <c r="G27" i="14"/>
  <c r="K27" i="14"/>
  <c r="S27" i="14" s="1"/>
  <c r="L27" i="14"/>
  <c r="H26" i="14"/>
  <c r="R26" i="14" s="1"/>
  <c r="I26" i="14"/>
  <c r="J26" i="14" s="1"/>
  <c r="Q26" i="14" s="1"/>
  <c r="J28" i="18" a="1"/>
  <c r="N28" i="18" a="1"/>
  <c r="P20" i="17"/>
  <c r="G20" i="17" a="1"/>
  <c r="G28" i="14" a="1"/>
  <c r="K28" i="14" a="1"/>
  <c r="I26" i="18" l="1"/>
  <c r="T26" i="18" s="1"/>
  <c r="G27" i="18"/>
  <c r="R27" i="18" s="1"/>
  <c r="O27" i="18"/>
  <c r="G20" i="17"/>
  <c r="J20" i="17" s="1"/>
  <c r="Q20" i="17"/>
  <c r="R20" i="17" s="1"/>
  <c r="H20" i="17"/>
  <c r="I20" i="17" s="1"/>
  <c r="O19" i="17"/>
  <c r="E21" i="17"/>
  <c r="L19" i="17"/>
  <c r="D22" i="17"/>
  <c r="F21" i="17"/>
  <c r="K20" i="17"/>
  <c r="N20" i="17" s="1"/>
  <c r="J28" i="18"/>
  <c r="N28" i="18"/>
  <c r="H28" i="18"/>
  <c r="F29" i="18"/>
  <c r="Q28" i="18"/>
  <c r="S27" i="18"/>
  <c r="L27" i="18"/>
  <c r="M27" i="18" s="1"/>
  <c r="K27" i="18"/>
  <c r="M27" i="14"/>
  <c r="F31" i="14"/>
  <c r="P30" i="14"/>
  <c r="K28" i="14"/>
  <c r="S28" i="14" s="1"/>
  <c r="G28" i="14"/>
  <c r="H27" i="14"/>
  <c r="R27" i="14" s="1"/>
  <c r="I27" i="14"/>
  <c r="J27" i="14" s="1"/>
  <c r="Q27" i="14" s="1"/>
  <c r="L28" i="14"/>
  <c r="G29" i="14" a="1"/>
  <c r="P21" i="17"/>
  <c r="N29" i="18" a="1"/>
  <c r="J29" i="18" a="1"/>
  <c r="G21" i="17" a="1"/>
  <c r="K29" i="14" a="1"/>
  <c r="I27" i="18" l="1"/>
  <c r="T27" i="18" s="1"/>
  <c r="G28" i="18"/>
  <c r="R28" i="18" s="1"/>
  <c r="O28" i="18"/>
  <c r="G21" i="17"/>
  <c r="J21" i="17" s="1"/>
  <c r="Q21" i="17"/>
  <c r="R21" i="17" s="1"/>
  <c r="H21" i="17"/>
  <c r="I21" i="17" s="1"/>
  <c r="L20" i="17"/>
  <c r="M20" i="17"/>
  <c r="O20" i="17" s="1"/>
  <c r="D23" i="17"/>
  <c r="F22" i="17"/>
  <c r="E22" i="17"/>
  <c r="E23" i="17" s="1"/>
  <c r="K21" i="17"/>
  <c r="N21" i="17" s="1"/>
  <c r="N29" i="18"/>
  <c r="J29" i="18"/>
  <c r="Q29" i="18"/>
  <c r="H29" i="18"/>
  <c r="F30" i="18"/>
  <c r="S28" i="18"/>
  <c r="L28" i="18"/>
  <c r="M28" i="18" s="1"/>
  <c r="K28" i="18"/>
  <c r="M28" i="14"/>
  <c r="F32" i="14"/>
  <c r="P31" i="14"/>
  <c r="K29" i="14"/>
  <c r="S29" i="14" s="1"/>
  <c r="G29" i="14"/>
  <c r="L29" i="14"/>
  <c r="H28" i="14"/>
  <c r="R28" i="14" s="1"/>
  <c r="I28" i="14"/>
  <c r="J28" i="14" s="1"/>
  <c r="Q28" i="14" s="1"/>
  <c r="G30" i="14" a="1"/>
  <c r="G22" i="17" a="1"/>
  <c r="N30" i="18" a="1"/>
  <c r="J30" i="18" a="1"/>
  <c r="K30" i="14" a="1"/>
  <c r="P22" i="17"/>
  <c r="I28" i="18" l="1"/>
  <c r="T28" i="18" s="1"/>
  <c r="G29" i="18"/>
  <c r="R29" i="18" s="1"/>
  <c r="O29" i="18"/>
  <c r="G22" i="17"/>
  <c r="J22" i="17" s="1"/>
  <c r="Q22" i="17"/>
  <c r="R22" i="17" s="1"/>
  <c r="H22" i="17"/>
  <c r="I22" i="17" s="1"/>
  <c r="K23" i="17" s="1"/>
  <c r="L21" i="17"/>
  <c r="M21" i="17"/>
  <c r="O21" i="17" s="1"/>
  <c r="D24" i="17"/>
  <c r="F23" i="17"/>
  <c r="K22" i="17"/>
  <c r="N22" i="17" s="1"/>
  <c r="N30" i="18"/>
  <c r="J30" i="18"/>
  <c r="Q30" i="18"/>
  <c r="F31" i="18"/>
  <c r="H30" i="18"/>
  <c r="S29" i="18"/>
  <c r="L29" i="18"/>
  <c r="M29" i="18" s="1"/>
  <c r="K29" i="18"/>
  <c r="M29" i="14"/>
  <c r="F33" i="14"/>
  <c r="P32" i="14"/>
  <c r="K30" i="14"/>
  <c r="S30" i="14" s="1"/>
  <c r="G30" i="14"/>
  <c r="I29" i="14"/>
  <c r="J29" i="14" s="1"/>
  <c r="Q29" i="14" s="1"/>
  <c r="H29" i="14"/>
  <c r="R29" i="14" s="1"/>
  <c r="L30" i="14"/>
  <c r="J31" i="18" a="1"/>
  <c r="K31" i="14" a="1"/>
  <c r="P23" i="17"/>
  <c r="G23" i="17" a="1"/>
  <c r="G31" i="14" a="1"/>
  <c r="N31" i="18" a="1"/>
  <c r="I29" i="18" l="1"/>
  <c r="T29" i="18" s="1"/>
  <c r="G30" i="18"/>
  <c r="R30" i="18" s="1"/>
  <c r="O30" i="18"/>
  <c r="G23" i="17"/>
  <c r="J23" i="17" s="1"/>
  <c r="Q23" i="17"/>
  <c r="R23" i="17" s="1"/>
  <c r="H23" i="17"/>
  <c r="I23" i="17" s="1"/>
  <c r="L22" i="17"/>
  <c r="M22" i="17"/>
  <c r="O22" i="17" s="1"/>
  <c r="D25" i="17"/>
  <c r="F24" i="17"/>
  <c r="E24" i="17"/>
  <c r="N23" i="17"/>
  <c r="M30" i="14"/>
  <c r="J31" i="18"/>
  <c r="N31" i="18"/>
  <c r="H31" i="18"/>
  <c r="Q31" i="18"/>
  <c r="F32" i="18"/>
  <c r="K30" i="18"/>
  <c r="L30" i="18"/>
  <c r="M30" i="18" s="1"/>
  <c r="S30" i="18"/>
  <c r="F34" i="14"/>
  <c r="P33" i="14"/>
  <c r="K31" i="14"/>
  <c r="S31" i="14" s="1"/>
  <c r="G31" i="14"/>
  <c r="L31" i="14"/>
  <c r="I30" i="14"/>
  <c r="J30" i="14" s="1"/>
  <c r="Q30" i="14" s="1"/>
  <c r="H30" i="14"/>
  <c r="R30" i="14" s="1"/>
  <c r="N32" i="18" a="1"/>
  <c r="P31" i="17"/>
  <c r="G24" i="17" a="1"/>
  <c r="G32" i="14" a="1"/>
  <c r="J32" i="18" a="1"/>
  <c r="K32" i="14" a="1"/>
  <c r="M31" i="14" l="1"/>
  <c r="I30" i="18"/>
  <c r="T30" i="18" s="1"/>
  <c r="G31" i="18"/>
  <c r="R31" i="18" s="1"/>
  <c r="O31" i="18"/>
  <c r="G24" i="17"/>
  <c r="J24" i="17" s="1"/>
  <c r="M24" i="17" s="1"/>
  <c r="Q31" i="17"/>
  <c r="R31" i="17" s="1"/>
  <c r="H24" i="17"/>
  <c r="I24" i="17" s="1"/>
  <c r="L23" i="17"/>
  <c r="M23" i="17"/>
  <c r="O23" i="17" s="1"/>
  <c r="D26" i="17"/>
  <c r="F25" i="17"/>
  <c r="E25" i="17"/>
  <c r="K24" i="17"/>
  <c r="N32" i="18"/>
  <c r="J32" i="18"/>
  <c r="S31" i="18"/>
  <c r="H32" i="18"/>
  <c r="F33" i="18"/>
  <c r="Q32" i="18"/>
  <c r="K31" i="18"/>
  <c r="L31" i="18"/>
  <c r="M31" i="18" s="1"/>
  <c r="F35" i="14"/>
  <c r="P34" i="14"/>
  <c r="G32" i="14"/>
  <c r="K32" i="14"/>
  <c r="S32" i="14" s="1"/>
  <c r="L32" i="14"/>
  <c r="M32" i="14" s="1"/>
  <c r="I31" i="14"/>
  <c r="J31" i="14" s="1"/>
  <c r="Q31" i="14" s="1"/>
  <c r="H31" i="14"/>
  <c r="R31" i="14" s="1"/>
  <c r="G25" i="17" a="1"/>
  <c r="P32" i="17"/>
  <c r="K33" i="14" a="1"/>
  <c r="N33" i="18" a="1"/>
  <c r="J33" i="18" a="1"/>
  <c r="G33" i="14" a="1"/>
  <c r="I31" i="18" l="1"/>
  <c r="T31" i="18" s="1"/>
  <c r="G32" i="18"/>
  <c r="R32" i="18" s="1"/>
  <c r="O32" i="18"/>
  <c r="G25" i="17"/>
  <c r="J25" i="17" s="1"/>
  <c r="Q32" i="17"/>
  <c r="R32" i="17" s="1"/>
  <c r="H25" i="17"/>
  <c r="I25" i="17" s="1"/>
  <c r="L24" i="17"/>
  <c r="N24" i="17"/>
  <c r="O24" i="17" s="1"/>
  <c r="D27" i="17"/>
  <c r="F26" i="17"/>
  <c r="E26" i="17"/>
  <c r="K25" i="17"/>
  <c r="N25" i="17" s="1"/>
  <c r="J33" i="18"/>
  <c r="N33" i="18"/>
  <c r="H33" i="18"/>
  <c r="F34" i="18"/>
  <c r="Q33" i="18"/>
  <c r="K32" i="18"/>
  <c r="L32" i="18"/>
  <c r="M32" i="18" s="1"/>
  <c r="S32" i="18"/>
  <c r="F36" i="14"/>
  <c r="P35" i="14"/>
  <c r="G33" i="14"/>
  <c r="K33" i="14"/>
  <c r="S33" i="14" s="1"/>
  <c r="L33" i="14"/>
  <c r="I32" i="14"/>
  <c r="J32" i="14" s="1"/>
  <c r="Q32" i="14" s="1"/>
  <c r="H32" i="14"/>
  <c r="R32" i="14" s="1"/>
  <c r="P33" i="17"/>
  <c r="J34" i="18" a="1"/>
  <c r="K34" i="14" a="1"/>
  <c r="G26" i="17" a="1"/>
  <c r="G34" i="14" a="1"/>
  <c r="N34" i="18" a="1"/>
  <c r="M33" i="14" l="1"/>
  <c r="I32" i="18"/>
  <c r="T32" i="18" s="1"/>
  <c r="G33" i="18"/>
  <c r="R33" i="18" s="1"/>
  <c r="O33" i="18"/>
  <c r="G26" i="17"/>
  <c r="J26" i="17" s="1"/>
  <c r="Q33" i="17"/>
  <c r="R33" i="17" s="1"/>
  <c r="H26" i="17"/>
  <c r="I26" i="17" s="1"/>
  <c r="L25" i="17"/>
  <c r="M25" i="17"/>
  <c r="O25" i="17" s="1"/>
  <c r="D28" i="17"/>
  <c r="F27" i="17"/>
  <c r="E27" i="17"/>
  <c r="K26" i="17"/>
  <c r="N26" i="17" s="1"/>
  <c r="N34" i="18"/>
  <c r="J34" i="18"/>
  <c r="Q34" i="18"/>
  <c r="H34" i="18"/>
  <c r="F35" i="18"/>
  <c r="S33" i="18"/>
  <c r="L33" i="18"/>
  <c r="M33" i="18" s="1"/>
  <c r="K33" i="18"/>
  <c r="F37" i="14"/>
  <c r="P36" i="14"/>
  <c r="K34" i="14"/>
  <c r="S34" i="14" s="1"/>
  <c r="G34" i="14"/>
  <c r="L34" i="14"/>
  <c r="H33" i="14"/>
  <c r="R33" i="14" s="1"/>
  <c r="I33" i="14"/>
  <c r="J33" i="14" s="1"/>
  <c r="Q33" i="14" s="1"/>
  <c r="J35" i="18" a="1"/>
  <c r="G27" i="17" a="1"/>
  <c r="K35" i="14" a="1"/>
  <c r="N35" i="18" a="1"/>
  <c r="P34" i="17"/>
  <c r="G35" i="14" a="1"/>
  <c r="I33" i="18" l="1"/>
  <c r="T33" i="18" s="1"/>
  <c r="G34" i="18"/>
  <c r="R34" i="18" s="1"/>
  <c r="O34" i="18"/>
  <c r="G27" i="17"/>
  <c r="J27" i="17" s="1"/>
  <c r="M27" i="17" s="1"/>
  <c r="Q34" i="17"/>
  <c r="R34" i="17" s="1"/>
  <c r="H27" i="17"/>
  <c r="I27" i="17" s="1"/>
  <c r="L26" i="17"/>
  <c r="M26" i="17"/>
  <c r="O26" i="17" s="1"/>
  <c r="D29" i="17"/>
  <c r="F28" i="17"/>
  <c r="E28" i="17"/>
  <c r="K27" i="17"/>
  <c r="N35" i="18"/>
  <c r="J35" i="18"/>
  <c r="S34" i="18"/>
  <c r="F36" i="18"/>
  <c r="Q35" i="18"/>
  <c r="H35" i="18"/>
  <c r="L34" i="18"/>
  <c r="M34" i="18" s="1"/>
  <c r="K34" i="18"/>
  <c r="M34" i="14"/>
  <c r="F38" i="14"/>
  <c r="P37" i="14"/>
  <c r="G35" i="14"/>
  <c r="K35" i="14"/>
  <c r="S35" i="14" s="1"/>
  <c r="L35" i="14"/>
  <c r="H34" i="14"/>
  <c r="R34" i="14" s="1"/>
  <c r="I34" i="14"/>
  <c r="J34" i="14" s="1"/>
  <c r="Q34" i="14" s="1"/>
  <c r="K36" i="14" a="1"/>
  <c r="P35" i="17"/>
  <c r="G28" i="17" a="1"/>
  <c r="G36" i="14" a="1"/>
  <c r="J36" i="18" a="1"/>
  <c r="N36" i="18" a="1"/>
  <c r="M35" i="14" l="1"/>
  <c r="I34" i="18"/>
  <c r="T34" i="18" s="1"/>
  <c r="G35" i="18"/>
  <c r="R35" i="18" s="1"/>
  <c r="O35" i="18"/>
  <c r="G28" i="17"/>
  <c r="J28" i="17" s="1"/>
  <c r="Q35" i="17"/>
  <c r="R35" i="17" s="1"/>
  <c r="H28" i="17"/>
  <c r="I28" i="17" s="1"/>
  <c r="L27" i="17"/>
  <c r="N27" i="17"/>
  <c r="O27" i="17" s="1"/>
  <c r="D30" i="17"/>
  <c r="F29" i="17"/>
  <c r="E29" i="17"/>
  <c r="K28" i="17"/>
  <c r="N28" i="17" s="1"/>
  <c r="N36" i="18"/>
  <c r="J36" i="18"/>
  <c r="S35" i="18"/>
  <c r="L35" i="18"/>
  <c r="M35" i="18" s="1"/>
  <c r="K35" i="18"/>
  <c r="H36" i="18"/>
  <c r="F37" i="18"/>
  <c r="Q36" i="18"/>
  <c r="F39" i="14"/>
  <c r="P38" i="14"/>
  <c r="G36" i="14"/>
  <c r="K36" i="14"/>
  <c r="S36" i="14" s="1"/>
  <c r="L36" i="14"/>
  <c r="H35" i="14"/>
  <c r="R35" i="14" s="1"/>
  <c r="I35" i="14"/>
  <c r="J35" i="14" s="1"/>
  <c r="Q35" i="14" s="1"/>
  <c r="P36" i="17"/>
  <c r="G37" i="14" a="1"/>
  <c r="J37" i="18" a="1"/>
  <c r="G29" i="17" a="1"/>
  <c r="N37" i="18" a="1"/>
  <c r="K37" i="14" a="1"/>
  <c r="I35" i="18" l="1"/>
  <c r="T35" i="18" s="1"/>
  <c r="G36" i="18"/>
  <c r="R36" i="18" s="1"/>
  <c r="O36" i="18"/>
  <c r="G29" i="17"/>
  <c r="J29" i="17" s="1"/>
  <c r="M29" i="17" s="1"/>
  <c r="Q36" i="17"/>
  <c r="R36" i="17" s="1"/>
  <c r="H29" i="17"/>
  <c r="I29" i="17" s="1"/>
  <c r="L28" i="17"/>
  <c r="M28" i="17"/>
  <c r="O28" i="17" s="1"/>
  <c r="D31" i="17"/>
  <c r="F30" i="17"/>
  <c r="E30" i="17"/>
  <c r="K29" i="17"/>
  <c r="N37" i="18"/>
  <c r="J37" i="18"/>
  <c r="Q37" i="18"/>
  <c r="F38" i="18"/>
  <c r="H37" i="18"/>
  <c r="L36" i="18"/>
  <c r="M36" i="18" s="1"/>
  <c r="K36" i="18"/>
  <c r="S36" i="18"/>
  <c r="M36" i="14"/>
  <c r="F40" i="14"/>
  <c r="P39" i="14"/>
  <c r="K37" i="14"/>
  <c r="S37" i="14" s="1"/>
  <c r="G37" i="14"/>
  <c r="L37" i="14"/>
  <c r="I36" i="14"/>
  <c r="J36" i="14" s="1"/>
  <c r="Q36" i="14" s="1"/>
  <c r="H36" i="14"/>
  <c r="R36" i="14" s="1"/>
  <c r="K38" i="14" a="1"/>
  <c r="G38" i="14" a="1"/>
  <c r="N38" i="18" a="1"/>
  <c r="G30" i="17" a="1"/>
  <c r="P37" i="17"/>
  <c r="J38" i="18" a="1"/>
  <c r="I36" i="18" l="1"/>
  <c r="T36" i="18" s="1"/>
  <c r="G37" i="18"/>
  <c r="R37" i="18" s="1"/>
  <c r="O37" i="18"/>
  <c r="G30" i="17"/>
  <c r="J30" i="17" s="1"/>
  <c r="Q37" i="17"/>
  <c r="R37" i="17" s="1"/>
  <c r="H30" i="17"/>
  <c r="I30" i="17" s="1"/>
  <c r="L29" i="17"/>
  <c r="N29" i="17"/>
  <c r="O29" i="17" s="1"/>
  <c r="D32" i="17"/>
  <c r="F31" i="17"/>
  <c r="E31" i="17"/>
  <c r="K30" i="17"/>
  <c r="N30" i="17" s="1"/>
  <c r="J38" i="18"/>
  <c r="N38" i="18"/>
  <c r="L37" i="18"/>
  <c r="M37" i="18" s="1"/>
  <c r="K37" i="18"/>
  <c r="S37" i="18"/>
  <c r="Q38" i="18"/>
  <c r="F39" i="18"/>
  <c r="H38" i="18"/>
  <c r="M37" i="14"/>
  <c r="F41" i="14"/>
  <c r="P40" i="14"/>
  <c r="K38" i="14"/>
  <c r="S38" i="14" s="1"/>
  <c r="G38" i="14"/>
  <c r="L38" i="14"/>
  <c r="I37" i="14"/>
  <c r="J37" i="14" s="1"/>
  <c r="Q37" i="14" s="1"/>
  <c r="H37" i="14"/>
  <c r="R37" i="14" s="1"/>
  <c r="G39" i="14" a="1"/>
  <c r="G31" i="17" a="1"/>
  <c r="N39" i="18" a="1"/>
  <c r="K39" i="14" a="1"/>
  <c r="P38" i="17"/>
  <c r="J39" i="18" a="1"/>
  <c r="I37" i="18" l="1"/>
  <c r="T37" i="18" s="1"/>
  <c r="G38" i="18"/>
  <c r="R38" i="18" s="1"/>
  <c r="O38" i="18"/>
  <c r="G31" i="17"/>
  <c r="J31" i="17" s="1"/>
  <c r="Q38" i="17"/>
  <c r="R38" i="17" s="1"/>
  <c r="H31" i="17"/>
  <c r="I31" i="17" s="1"/>
  <c r="L30" i="17"/>
  <c r="M30" i="17"/>
  <c r="O30" i="17" s="1"/>
  <c r="D33" i="17"/>
  <c r="F32" i="17"/>
  <c r="E32" i="17"/>
  <c r="K31" i="17"/>
  <c r="N31" i="17" s="1"/>
  <c r="J39" i="18"/>
  <c r="N39" i="18"/>
  <c r="S38" i="18"/>
  <c r="H39" i="18"/>
  <c r="F40" i="18"/>
  <c r="Q39" i="18"/>
  <c r="L38" i="18"/>
  <c r="M38" i="18" s="1"/>
  <c r="K38" i="18"/>
  <c r="M38" i="14"/>
  <c r="F42" i="14"/>
  <c r="P41" i="14"/>
  <c r="G39" i="14"/>
  <c r="K39" i="14"/>
  <c r="S39" i="14" s="1"/>
  <c r="L39" i="14"/>
  <c r="H38" i="14"/>
  <c r="R38" i="14" s="1"/>
  <c r="I38" i="14"/>
  <c r="J38" i="14" s="1"/>
  <c r="Q38" i="14" s="1"/>
  <c r="K40" i="14" a="1"/>
  <c r="P39" i="17"/>
  <c r="G32" i="17" a="1"/>
  <c r="J40" i="18" a="1"/>
  <c r="G40" i="14" a="1"/>
  <c r="N40" i="18" a="1"/>
  <c r="I38" i="18" l="1"/>
  <c r="T38" i="18" s="1"/>
  <c r="G39" i="18"/>
  <c r="R39" i="18" s="1"/>
  <c r="O39" i="18"/>
  <c r="G32" i="17"/>
  <c r="J32" i="17" s="1"/>
  <c r="M32" i="17" s="1"/>
  <c r="Q39" i="17"/>
  <c r="R39" i="17" s="1"/>
  <c r="H32" i="17"/>
  <c r="I32" i="17" s="1"/>
  <c r="L31" i="17"/>
  <c r="M31" i="17"/>
  <c r="O31" i="17" s="1"/>
  <c r="D34" i="17"/>
  <c r="F33" i="17"/>
  <c r="E33" i="17"/>
  <c r="K32" i="17"/>
  <c r="N40" i="18"/>
  <c r="J40" i="18"/>
  <c r="S39" i="18"/>
  <c r="H40" i="18"/>
  <c r="F41" i="18"/>
  <c r="Q40" i="18"/>
  <c r="K39" i="18"/>
  <c r="L39" i="18"/>
  <c r="M39" i="18" s="1"/>
  <c r="M39" i="14"/>
  <c r="F43" i="14"/>
  <c r="P42" i="14"/>
  <c r="K40" i="14"/>
  <c r="S40" i="14" s="1"/>
  <c r="G40" i="14"/>
  <c r="L40" i="14"/>
  <c r="H39" i="14"/>
  <c r="R39" i="14" s="1"/>
  <c r="I39" i="14"/>
  <c r="J39" i="14" s="1"/>
  <c r="Q39" i="14" s="1"/>
  <c r="N41" i="18" a="1"/>
  <c r="P40" i="17"/>
  <c r="J41" i="18" a="1"/>
  <c r="K41" i="14" a="1"/>
  <c r="G33" i="17" a="1"/>
  <c r="G41" i="14" a="1"/>
  <c r="I39" i="18" l="1"/>
  <c r="T39" i="18" s="1"/>
  <c r="G40" i="18"/>
  <c r="R40" i="18" s="1"/>
  <c r="O40" i="18"/>
  <c r="G33" i="17"/>
  <c r="J33" i="17" s="1"/>
  <c r="Q40" i="17"/>
  <c r="R40" i="17" s="1"/>
  <c r="H33" i="17"/>
  <c r="I33" i="17" s="1"/>
  <c r="L32" i="17"/>
  <c r="N32" i="17"/>
  <c r="O32" i="17" s="1"/>
  <c r="D35" i="17"/>
  <c r="F34" i="17"/>
  <c r="E34" i="17"/>
  <c r="G34" i="17" s="1" a="1"/>
  <c r="G34" i="17" s="1"/>
  <c r="K33" i="17"/>
  <c r="N33" i="17" s="1"/>
  <c r="N41" i="18"/>
  <c r="J41" i="18"/>
  <c r="F42" i="18"/>
  <c r="H41" i="18"/>
  <c r="Q41" i="18"/>
  <c r="L40" i="18"/>
  <c r="M40" i="18" s="1"/>
  <c r="K40" i="18"/>
  <c r="S40" i="18"/>
  <c r="M40" i="14"/>
  <c r="F44" i="14"/>
  <c r="P43" i="14"/>
  <c r="K41" i="14"/>
  <c r="S41" i="14" s="1"/>
  <c r="G41" i="14"/>
  <c r="L41" i="14"/>
  <c r="H40" i="14"/>
  <c r="R40" i="14" s="1"/>
  <c r="I40" i="14"/>
  <c r="J40" i="14" s="1"/>
  <c r="Q40" i="14" s="1"/>
  <c r="J42" i="18" a="1"/>
  <c r="N42" i="18" a="1"/>
  <c r="G42" i="14" a="1"/>
  <c r="K42" i="14" a="1"/>
  <c r="P41" i="17"/>
  <c r="I40" i="18" l="1"/>
  <c r="T40" i="18" s="1"/>
  <c r="G41" i="18"/>
  <c r="R41" i="18" s="1"/>
  <c r="O41" i="18"/>
  <c r="Q41" i="17"/>
  <c r="R41" i="17" s="1"/>
  <c r="H34" i="17"/>
  <c r="I34" i="17" s="1"/>
  <c r="L33" i="17"/>
  <c r="M33" i="17"/>
  <c r="O33" i="17" s="1"/>
  <c r="D36" i="17"/>
  <c r="F35" i="17"/>
  <c r="G35" i="17" a="1"/>
  <c r="G35" i="17" s="1"/>
  <c r="E35" i="17"/>
  <c r="K34" i="17"/>
  <c r="J34" i="17"/>
  <c r="M34" i="17" s="1"/>
  <c r="J42" i="18"/>
  <c r="N42" i="18"/>
  <c r="Q42" i="18"/>
  <c r="F43" i="18"/>
  <c r="H42" i="18"/>
  <c r="L41" i="18"/>
  <c r="M41" i="18" s="1"/>
  <c r="K41" i="18"/>
  <c r="S41" i="18"/>
  <c r="M41" i="14"/>
  <c r="F45" i="14"/>
  <c r="P44" i="14"/>
  <c r="G42" i="14"/>
  <c r="K42" i="14"/>
  <c r="S42" i="14" s="1"/>
  <c r="L42" i="14"/>
  <c r="H41" i="14"/>
  <c r="R41" i="14" s="1"/>
  <c r="I41" i="14"/>
  <c r="J41" i="14" s="1"/>
  <c r="Q41" i="14" s="1"/>
  <c r="P42" i="17"/>
  <c r="K43" i="14" a="1"/>
  <c r="N43" i="18" a="1"/>
  <c r="J43" i="18" a="1"/>
  <c r="G43" i="14" a="1"/>
  <c r="I41" i="18" l="1"/>
  <c r="T41" i="18" s="1"/>
  <c r="G42" i="18"/>
  <c r="R42" i="18" s="1"/>
  <c r="O42" i="18"/>
  <c r="Q42" i="17"/>
  <c r="R42" i="17" s="1"/>
  <c r="H35" i="17"/>
  <c r="I35" i="17" s="1"/>
  <c r="L34" i="17"/>
  <c r="N34" i="17"/>
  <c r="O34" i="17" s="1"/>
  <c r="D37" i="17"/>
  <c r="F36" i="17"/>
  <c r="G36" i="17" a="1"/>
  <c r="G36" i="17" s="1"/>
  <c r="E36" i="17"/>
  <c r="J35" i="17"/>
  <c r="K35" i="17"/>
  <c r="N35" i="17" s="1"/>
  <c r="J43" i="18"/>
  <c r="N43" i="18"/>
  <c r="S42" i="18"/>
  <c r="F44" i="18"/>
  <c r="H43" i="18"/>
  <c r="Q43" i="18"/>
  <c r="K42" i="18"/>
  <c r="L42" i="18"/>
  <c r="M42" i="18" s="1"/>
  <c r="M42" i="14"/>
  <c r="F46" i="14"/>
  <c r="P45" i="14"/>
  <c r="G43" i="14"/>
  <c r="K43" i="14"/>
  <c r="S43" i="14" s="1"/>
  <c r="L43" i="14"/>
  <c r="I42" i="14"/>
  <c r="J42" i="14" s="1"/>
  <c r="Q42" i="14" s="1"/>
  <c r="H42" i="14"/>
  <c r="R42" i="14" s="1"/>
  <c r="J44" i="18" a="1"/>
  <c r="N44" i="18" a="1"/>
  <c r="G44" i="14" a="1"/>
  <c r="P43" i="17"/>
  <c r="K44" i="14" a="1"/>
  <c r="I42" i="18" l="1"/>
  <c r="T42" i="18" s="1"/>
  <c r="G43" i="18"/>
  <c r="R43" i="18" s="1"/>
  <c r="O43" i="18"/>
  <c r="M43" i="14"/>
  <c r="Q43" i="17"/>
  <c r="R43" i="17" s="1"/>
  <c r="H36" i="17"/>
  <c r="I36" i="17" s="1"/>
  <c r="L35" i="17"/>
  <c r="M35" i="17"/>
  <c r="O35" i="17" s="1"/>
  <c r="D38" i="17"/>
  <c r="F37" i="17"/>
  <c r="E37" i="17"/>
  <c r="G37" i="17" a="1"/>
  <c r="G37" i="17" s="1"/>
  <c r="J36" i="17"/>
  <c r="K36" i="17"/>
  <c r="N36" i="17" s="1"/>
  <c r="N44" i="18"/>
  <c r="J44" i="18"/>
  <c r="S43" i="18"/>
  <c r="H44" i="18"/>
  <c r="F45" i="18"/>
  <c r="Q44" i="18"/>
  <c r="L43" i="18"/>
  <c r="M43" i="18" s="1"/>
  <c r="K43" i="18"/>
  <c r="F47" i="14"/>
  <c r="P46" i="14"/>
  <c r="G44" i="14"/>
  <c r="K44" i="14"/>
  <c r="S44" i="14" s="1"/>
  <c r="L44" i="14"/>
  <c r="I43" i="14"/>
  <c r="J43" i="14" s="1"/>
  <c r="Q43" i="14" s="1"/>
  <c r="H43" i="14"/>
  <c r="R43" i="14" s="1"/>
  <c r="K45" i="14" a="1"/>
  <c r="N45" i="18" a="1"/>
  <c r="J45" i="18" a="1"/>
  <c r="P44" i="17"/>
  <c r="G45" i="14" a="1"/>
  <c r="I43" i="18" l="1"/>
  <c r="T43" i="18" s="1"/>
  <c r="G44" i="18"/>
  <c r="R44" i="18" s="1"/>
  <c r="O44" i="18"/>
  <c r="Q44" i="17"/>
  <c r="R44" i="17" s="1"/>
  <c r="H37" i="17"/>
  <c r="I37" i="17" s="1"/>
  <c r="L36" i="17"/>
  <c r="M36" i="17"/>
  <c r="O36" i="17" s="1"/>
  <c r="D39" i="17"/>
  <c r="F38" i="17"/>
  <c r="E38" i="17"/>
  <c r="G38" i="17" a="1"/>
  <c r="G38" i="17" s="1"/>
  <c r="J37" i="17"/>
  <c r="M37" i="17" s="1"/>
  <c r="K37" i="17"/>
  <c r="J45" i="18"/>
  <c r="N45" i="18"/>
  <c r="H45" i="18"/>
  <c r="F46" i="18"/>
  <c r="Q45" i="18"/>
  <c r="L44" i="18"/>
  <c r="M44" i="18" s="1"/>
  <c r="K44" i="18"/>
  <c r="S44" i="18"/>
  <c r="M44" i="14"/>
  <c r="F48" i="14"/>
  <c r="P47" i="14"/>
  <c r="K45" i="14"/>
  <c r="S45" i="14" s="1"/>
  <c r="G45" i="14"/>
  <c r="L45" i="14"/>
  <c r="H44" i="14"/>
  <c r="R44" i="14" s="1"/>
  <c r="I44" i="14"/>
  <c r="J44" i="14" s="1"/>
  <c r="Q44" i="14" s="1"/>
  <c r="P45" i="17"/>
  <c r="K46" i="14" a="1"/>
  <c r="J46" i="18" a="1"/>
  <c r="G46" i="14" a="1"/>
  <c r="N46" i="18" a="1"/>
  <c r="I44" i="18" l="1"/>
  <c r="T44" i="18" s="1"/>
  <c r="G45" i="18"/>
  <c r="R45" i="18" s="1"/>
  <c r="O45" i="18"/>
  <c r="Q45" i="17"/>
  <c r="R45" i="17" s="1"/>
  <c r="H38" i="17"/>
  <c r="I38" i="17" s="1"/>
  <c r="L37" i="17"/>
  <c r="N37" i="17"/>
  <c r="O37" i="17" s="1"/>
  <c r="D40" i="17"/>
  <c r="F39" i="17"/>
  <c r="E39" i="17"/>
  <c r="G39" i="17" a="1"/>
  <c r="G39" i="17" s="1"/>
  <c r="J38" i="17"/>
  <c r="K38" i="17"/>
  <c r="N38" i="17" s="1"/>
  <c r="N46" i="18"/>
  <c r="J46" i="18"/>
  <c r="Q46" i="18"/>
  <c r="F47" i="18"/>
  <c r="H46" i="18"/>
  <c r="S45" i="18"/>
  <c r="L45" i="18"/>
  <c r="M45" i="18" s="1"/>
  <c r="K45" i="18"/>
  <c r="M45" i="14"/>
  <c r="F49" i="14"/>
  <c r="P48" i="14"/>
  <c r="G46" i="14"/>
  <c r="K46" i="14"/>
  <c r="S46" i="14" s="1"/>
  <c r="L46" i="14"/>
  <c r="H45" i="14"/>
  <c r="R45" i="14" s="1"/>
  <c r="I45" i="14"/>
  <c r="J45" i="14" s="1"/>
  <c r="Q45" i="14" s="1"/>
  <c r="G47" i="14" a="1"/>
  <c r="N47" i="18" a="1"/>
  <c r="J47" i="18" a="1"/>
  <c r="P46" i="17"/>
  <c r="K47" i="14" a="1"/>
  <c r="I45" i="18" l="1"/>
  <c r="T45" i="18" s="1"/>
  <c r="G46" i="18"/>
  <c r="R46" i="18" s="1"/>
  <c r="O46" i="18"/>
  <c r="Q46" i="17"/>
  <c r="R46" i="17" s="1"/>
  <c r="H39" i="17"/>
  <c r="I39" i="17" s="1"/>
  <c r="L38" i="17"/>
  <c r="M38" i="17"/>
  <c r="O38" i="17" s="1"/>
  <c r="D41" i="17"/>
  <c r="F40" i="17"/>
  <c r="E40" i="17"/>
  <c r="G40" i="17" a="1"/>
  <c r="G40" i="17" s="1"/>
  <c r="J39" i="17"/>
  <c r="M39" i="17" s="1"/>
  <c r="K39" i="17"/>
  <c r="N47" i="18"/>
  <c r="J47" i="18"/>
  <c r="S46" i="18"/>
  <c r="L46" i="18"/>
  <c r="M46" i="18" s="1"/>
  <c r="K46" i="18"/>
  <c r="F48" i="18"/>
  <c r="H47" i="18"/>
  <c r="Q47" i="18"/>
  <c r="M46" i="14"/>
  <c r="F50" i="14"/>
  <c r="P49" i="14"/>
  <c r="G47" i="14"/>
  <c r="K47" i="14"/>
  <c r="S47" i="14" s="1"/>
  <c r="L47" i="14"/>
  <c r="H46" i="14"/>
  <c r="R46" i="14" s="1"/>
  <c r="I46" i="14"/>
  <c r="J46" i="14" s="1"/>
  <c r="Q46" i="14" s="1"/>
  <c r="G48" i="14" a="1"/>
  <c r="J48" i="18" a="1"/>
  <c r="N48" i="18" a="1"/>
  <c r="K48" i="14" a="1"/>
  <c r="P47" i="17"/>
  <c r="M47" i="14" l="1"/>
  <c r="I46" i="18"/>
  <c r="T46" i="18" s="1"/>
  <c r="G47" i="18"/>
  <c r="R47" i="18" s="1"/>
  <c r="O47" i="18"/>
  <c r="Q47" i="17"/>
  <c r="R47" i="17" s="1"/>
  <c r="H40" i="17"/>
  <c r="I40" i="17" s="1"/>
  <c r="L39" i="17"/>
  <c r="N39" i="17"/>
  <c r="O39" i="17" s="1"/>
  <c r="D42" i="17"/>
  <c r="F41" i="17"/>
  <c r="E41" i="17"/>
  <c r="G41" i="17" a="1"/>
  <c r="G41" i="17" s="1"/>
  <c r="J40" i="17"/>
  <c r="K40" i="17"/>
  <c r="N40" i="17" s="1"/>
  <c r="N48" i="18"/>
  <c r="J48" i="18"/>
  <c r="S47" i="18"/>
  <c r="F49" i="18"/>
  <c r="Q48" i="18"/>
  <c r="H48" i="18"/>
  <c r="L47" i="18"/>
  <c r="M47" i="18" s="1"/>
  <c r="K47" i="18"/>
  <c r="F51" i="14"/>
  <c r="P50" i="14"/>
  <c r="K48" i="14"/>
  <c r="S48" i="14" s="1"/>
  <c r="G48" i="14"/>
  <c r="L48" i="14"/>
  <c r="I47" i="14"/>
  <c r="J47" i="14" s="1"/>
  <c r="Q47" i="14" s="1"/>
  <c r="H47" i="14"/>
  <c r="R47" i="14" s="1"/>
  <c r="P48" i="17"/>
  <c r="G49" i="14" a="1"/>
  <c r="N49" i="18" a="1"/>
  <c r="J49" i="18" a="1"/>
  <c r="K49" i="14" a="1"/>
  <c r="I47" i="18" l="1"/>
  <c r="T47" i="18" s="1"/>
  <c r="G48" i="18"/>
  <c r="R48" i="18" s="1"/>
  <c r="O48" i="18"/>
  <c r="Q48" i="17"/>
  <c r="R48" i="17" s="1"/>
  <c r="H41" i="17"/>
  <c r="I41" i="17" s="1"/>
  <c r="L40" i="17"/>
  <c r="M40" i="17"/>
  <c r="O40" i="17" s="1"/>
  <c r="D43" i="17"/>
  <c r="F42" i="17"/>
  <c r="E42" i="17"/>
  <c r="G42" i="17" a="1"/>
  <c r="G42" i="17" s="1"/>
  <c r="J41" i="17"/>
  <c r="K41" i="17"/>
  <c r="N41" i="17" s="1"/>
  <c r="J49" i="18"/>
  <c r="N49" i="18"/>
  <c r="S48" i="18"/>
  <c r="K48" i="18"/>
  <c r="L48" i="18"/>
  <c r="M48" i="18" s="1"/>
  <c r="F50" i="18"/>
  <c r="H49" i="18"/>
  <c r="Q49" i="18"/>
  <c r="F52" i="14"/>
  <c r="P51" i="14"/>
  <c r="K49" i="14"/>
  <c r="S49" i="14" s="1"/>
  <c r="G49" i="14"/>
  <c r="M48" i="14"/>
  <c r="L49" i="14"/>
  <c r="I48" i="14"/>
  <c r="J48" i="14" s="1"/>
  <c r="Q48" i="14" s="1"/>
  <c r="H48" i="14"/>
  <c r="R48" i="14" s="1"/>
  <c r="P49" i="17"/>
  <c r="J50" i="18" a="1"/>
  <c r="N50" i="18" a="1"/>
  <c r="G50" i="14" a="1"/>
  <c r="K50" i="14" a="1"/>
  <c r="M49" i="14" l="1"/>
  <c r="I48" i="18"/>
  <c r="T48" i="18" s="1"/>
  <c r="G49" i="18"/>
  <c r="R49" i="18" s="1"/>
  <c r="O49" i="18"/>
  <c r="Q49" i="17"/>
  <c r="R49" i="17" s="1"/>
  <c r="H42" i="17"/>
  <c r="I42" i="17" s="1"/>
  <c r="L41" i="17"/>
  <c r="M41" i="17"/>
  <c r="O41" i="17" s="1"/>
  <c r="D44" i="17"/>
  <c r="F43" i="17"/>
  <c r="E43" i="17"/>
  <c r="G43" i="17" a="1"/>
  <c r="G43" i="17" s="1"/>
  <c r="J42" i="17"/>
  <c r="K42" i="17"/>
  <c r="N42" i="17" s="1"/>
  <c r="N50" i="18"/>
  <c r="J50" i="18"/>
  <c r="Q50" i="18"/>
  <c r="F51" i="18"/>
  <c r="H50" i="18"/>
  <c r="S49" i="18"/>
  <c r="K49" i="18"/>
  <c r="L49" i="18"/>
  <c r="M49" i="18" s="1"/>
  <c r="F53" i="14"/>
  <c r="P52" i="14"/>
  <c r="K50" i="14"/>
  <c r="S50" i="14" s="1"/>
  <c r="G50" i="14"/>
  <c r="L50" i="14"/>
  <c r="H49" i="14"/>
  <c r="R49" i="14" s="1"/>
  <c r="I49" i="14"/>
  <c r="J49" i="14" s="1"/>
  <c r="Q49" i="14" s="1"/>
  <c r="G51" i="14" a="1"/>
  <c r="J51" i="18" a="1"/>
  <c r="N51" i="18" a="1"/>
  <c r="K51" i="14" a="1"/>
  <c r="P50" i="17"/>
  <c r="M50" i="14" l="1"/>
  <c r="I49" i="18"/>
  <c r="T49" i="18" s="1"/>
  <c r="G50" i="18"/>
  <c r="R50" i="18" s="1"/>
  <c r="O50" i="18"/>
  <c r="Q50" i="17"/>
  <c r="R50" i="17" s="1"/>
  <c r="H43" i="17"/>
  <c r="I43" i="17" s="1"/>
  <c r="L42" i="17"/>
  <c r="M42" i="17"/>
  <c r="O42" i="17" s="1"/>
  <c r="D45" i="17"/>
  <c r="F44" i="17"/>
  <c r="E44" i="17"/>
  <c r="G44" i="17" a="1"/>
  <c r="G44" i="17" s="1"/>
  <c r="J43" i="17"/>
  <c r="K43" i="17"/>
  <c r="N43" i="17" s="1"/>
  <c r="N51" i="18"/>
  <c r="J51" i="18"/>
  <c r="F52" i="18"/>
  <c r="H51" i="18"/>
  <c r="Q51" i="18"/>
  <c r="K50" i="18"/>
  <c r="L50" i="18"/>
  <c r="M50" i="18" s="1"/>
  <c r="S50" i="18"/>
  <c r="F54" i="14"/>
  <c r="P53" i="14"/>
  <c r="G51" i="14"/>
  <c r="K51" i="14"/>
  <c r="S51" i="14" s="1"/>
  <c r="L51" i="14"/>
  <c r="I50" i="14"/>
  <c r="J50" i="14" s="1"/>
  <c r="Q50" i="14" s="1"/>
  <c r="H50" i="14"/>
  <c r="R50" i="14" s="1"/>
  <c r="N52" i="18" a="1"/>
  <c r="K52" i="14" a="1"/>
  <c r="J52" i="18" a="1"/>
  <c r="P51" i="17"/>
  <c r="G52" i="14" a="1"/>
  <c r="I50" i="18" l="1"/>
  <c r="T50" i="18" s="1"/>
  <c r="G51" i="18"/>
  <c r="R51" i="18" s="1"/>
  <c r="O51" i="18"/>
  <c r="Q51" i="17"/>
  <c r="R51" i="17" s="1"/>
  <c r="H44" i="17"/>
  <c r="I44" i="17" s="1"/>
  <c r="L43" i="17"/>
  <c r="M43" i="17"/>
  <c r="O43" i="17" s="1"/>
  <c r="D46" i="17"/>
  <c r="F45" i="17"/>
  <c r="G45" i="17" a="1"/>
  <c r="G45" i="17" s="1"/>
  <c r="E45" i="17"/>
  <c r="J44" i="17"/>
  <c r="M44" i="17" s="1"/>
  <c r="K44" i="17"/>
  <c r="N52" i="18"/>
  <c r="J52" i="18"/>
  <c r="S51" i="18"/>
  <c r="H52" i="18"/>
  <c r="F53" i="18"/>
  <c r="Q52" i="18"/>
  <c r="K51" i="18"/>
  <c r="L51" i="18"/>
  <c r="M51" i="18" s="1"/>
  <c r="M51" i="14"/>
  <c r="F55" i="14"/>
  <c r="P54" i="14"/>
  <c r="G52" i="14"/>
  <c r="K52" i="14"/>
  <c r="S52" i="14" s="1"/>
  <c r="L52" i="14"/>
  <c r="I51" i="14"/>
  <c r="J51" i="14" s="1"/>
  <c r="Q51" i="14" s="1"/>
  <c r="H51" i="14"/>
  <c r="R51" i="14" s="1"/>
  <c r="P52" i="17"/>
  <c r="G53" i="14" a="1"/>
  <c r="N53" i="18" a="1"/>
  <c r="J53" i="18" a="1"/>
  <c r="K53" i="14" a="1"/>
  <c r="I51" i="18" l="1"/>
  <c r="T51" i="18" s="1"/>
  <c r="G52" i="18"/>
  <c r="R52" i="18" s="1"/>
  <c r="O52" i="18"/>
  <c r="Q52" i="17"/>
  <c r="R52" i="17" s="1"/>
  <c r="H45" i="17"/>
  <c r="I45" i="17" s="1"/>
  <c r="L44" i="17"/>
  <c r="N44" i="17"/>
  <c r="O44" i="17" s="1"/>
  <c r="D47" i="17"/>
  <c r="F46" i="17"/>
  <c r="G46" i="17" a="1"/>
  <c r="G46" i="17" s="1"/>
  <c r="E46" i="17"/>
  <c r="J45" i="17"/>
  <c r="K45" i="17"/>
  <c r="N45" i="17" s="1"/>
  <c r="J53" i="18"/>
  <c r="N53" i="18"/>
  <c r="S52" i="18"/>
  <c r="L52" i="18"/>
  <c r="M52" i="18" s="1"/>
  <c r="K52" i="18"/>
  <c r="Q53" i="18"/>
  <c r="F54" i="18"/>
  <c r="H53" i="18"/>
  <c r="M52" i="14"/>
  <c r="F56" i="14"/>
  <c r="P55" i="14"/>
  <c r="K53" i="14"/>
  <c r="S53" i="14" s="1"/>
  <c r="G53" i="14"/>
  <c r="L53" i="14"/>
  <c r="H52" i="14"/>
  <c r="R52" i="14" s="1"/>
  <c r="I52" i="14"/>
  <c r="J52" i="14" s="1"/>
  <c r="Q52" i="14" s="1"/>
  <c r="N54" i="18" a="1"/>
  <c r="P53" i="17"/>
  <c r="G54" i="14" a="1"/>
  <c r="K54" i="14" a="1"/>
  <c r="J54" i="18" a="1"/>
  <c r="I52" i="18" l="1"/>
  <c r="T52" i="18" s="1"/>
  <c r="G53" i="18"/>
  <c r="R53" i="18" s="1"/>
  <c r="O53" i="18"/>
  <c r="Q53" i="17"/>
  <c r="R53" i="17" s="1"/>
  <c r="H46" i="17"/>
  <c r="I46" i="17" s="1"/>
  <c r="L45" i="17"/>
  <c r="M45" i="17"/>
  <c r="O45" i="17" s="1"/>
  <c r="D48" i="17"/>
  <c r="F47" i="17"/>
  <c r="G47" i="17" a="1"/>
  <c r="G47" i="17" s="1"/>
  <c r="E47" i="17"/>
  <c r="J46" i="17"/>
  <c r="M46" i="17" s="1"/>
  <c r="K46" i="17"/>
  <c r="N54" i="18"/>
  <c r="J54" i="18"/>
  <c r="S53" i="18"/>
  <c r="Q54" i="18"/>
  <c r="F55" i="18"/>
  <c r="H54" i="18"/>
  <c r="K53" i="18"/>
  <c r="L53" i="18"/>
  <c r="M53" i="18" s="1"/>
  <c r="M53" i="14"/>
  <c r="F57" i="14"/>
  <c r="P56" i="14"/>
  <c r="K54" i="14"/>
  <c r="S54" i="14" s="1"/>
  <c r="G54" i="14"/>
  <c r="L54" i="14"/>
  <c r="I53" i="14"/>
  <c r="J53" i="14" s="1"/>
  <c r="Q53" i="14" s="1"/>
  <c r="H53" i="14"/>
  <c r="R53" i="14" s="1"/>
  <c r="N55" i="18" a="1"/>
  <c r="J55" i="18" a="1"/>
  <c r="G55" i="14" a="1"/>
  <c r="K55" i="14" a="1"/>
  <c r="P54" i="17"/>
  <c r="M54" i="14" l="1"/>
  <c r="I53" i="18"/>
  <c r="T53" i="18" s="1"/>
  <c r="G54" i="18"/>
  <c r="R54" i="18" s="1"/>
  <c r="O54" i="18"/>
  <c r="Q54" i="17"/>
  <c r="R54" i="17" s="1"/>
  <c r="H47" i="17"/>
  <c r="I47" i="17" s="1"/>
  <c r="L46" i="17"/>
  <c r="N46" i="17"/>
  <c r="O46" i="17" s="1"/>
  <c r="D49" i="17"/>
  <c r="F48" i="17"/>
  <c r="G48" i="17" a="1"/>
  <c r="G48" i="17" s="1"/>
  <c r="E48" i="17"/>
  <c r="J47" i="17"/>
  <c r="K47" i="17"/>
  <c r="N47" i="17" s="1"/>
  <c r="N55" i="18"/>
  <c r="J55" i="18"/>
  <c r="S54" i="18"/>
  <c r="K54" i="18"/>
  <c r="L54" i="18"/>
  <c r="M54" i="18" s="1"/>
  <c r="F56" i="18"/>
  <c r="H55" i="18"/>
  <c r="Q55" i="18"/>
  <c r="F58" i="14"/>
  <c r="P57" i="14"/>
  <c r="G55" i="14"/>
  <c r="K55" i="14"/>
  <c r="S55" i="14" s="1"/>
  <c r="L55" i="14"/>
  <c r="H54" i="14"/>
  <c r="R54" i="14" s="1"/>
  <c r="I54" i="14"/>
  <c r="J54" i="14" s="1"/>
  <c r="Q54" i="14" s="1"/>
  <c r="J56" i="18" a="1"/>
  <c r="G56" i="14" a="1"/>
  <c r="P55" i="17"/>
  <c r="K56" i="14" a="1"/>
  <c r="N56" i="18" a="1"/>
  <c r="M55" i="14" l="1"/>
  <c r="I54" i="18"/>
  <c r="T54" i="18" s="1"/>
  <c r="G55" i="18"/>
  <c r="R55" i="18" s="1"/>
  <c r="O55" i="18"/>
  <c r="Q55" i="17"/>
  <c r="R55" i="17" s="1"/>
  <c r="H48" i="17"/>
  <c r="I48" i="17" s="1"/>
  <c r="L47" i="17"/>
  <c r="M47" i="17"/>
  <c r="O47" i="17" s="1"/>
  <c r="D50" i="17"/>
  <c r="F49" i="17"/>
  <c r="G49" i="17" a="1"/>
  <c r="G49" i="17" s="1"/>
  <c r="E49" i="17"/>
  <c r="J48" i="17"/>
  <c r="K48" i="17"/>
  <c r="N48" i="17" s="1"/>
  <c r="N56" i="18"/>
  <c r="J56" i="18"/>
  <c r="K55" i="18"/>
  <c r="L55" i="18"/>
  <c r="M55" i="18" s="1"/>
  <c r="S55" i="18"/>
  <c r="F57" i="18"/>
  <c r="Q56" i="18"/>
  <c r="H56" i="18"/>
  <c r="F59" i="14"/>
  <c r="P58" i="14"/>
  <c r="K56" i="14"/>
  <c r="S56" i="14" s="1"/>
  <c r="G56" i="14"/>
  <c r="L56" i="14"/>
  <c r="H55" i="14"/>
  <c r="R55" i="14" s="1"/>
  <c r="I55" i="14"/>
  <c r="J55" i="14" s="1"/>
  <c r="Q55" i="14" s="1"/>
  <c r="J57" i="18" a="1"/>
  <c r="G57" i="14" a="1"/>
  <c r="N57" i="18" a="1"/>
  <c r="P56" i="17"/>
  <c r="K57" i="14" a="1"/>
  <c r="M56" i="14" l="1"/>
  <c r="I55" i="18"/>
  <c r="T55" i="18" s="1"/>
  <c r="G56" i="18"/>
  <c r="R56" i="18" s="1"/>
  <c r="O56" i="18"/>
  <c r="Q56" i="17"/>
  <c r="R56" i="17" s="1"/>
  <c r="H49" i="17"/>
  <c r="I49" i="17" s="1"/>
  <c r="L48" i="17"/>
  <c r="M48" i="17"/>
  <c r="O48" i="17" s="1"/>
  <c r="D51" i="17"/>
  <c r="F50" i="17"/>
  <c r="G50" i="17" a="1"/>
  <c r="G50" i="17" s="1"/>
  <c r="E50" i="17"/>
  <c r="J49" i="17"/>
  <c r="M49" i="17" s="1"/>
  <c r="K49" i="17"/>
  <c r="J57" i="18"/>
  <c r="N57" i="18"/>
  <c r="L56" i="18"/>
  <c r="M56" i="18" s="1"/>
  <c r="K56" i="18"/>
  <c r="S56" i="18"/>
  <c r="H57" i="18"/>
  <c r="F58" i="18"/>
  <c r="Q57" i="18"/>
  <c r="F60" i="14"/>
  <c r="P59" i="14"/>
  <c r="K57" i="14"/>
  <c r="S57" i="14" s="1"/>
  <c r="G57" i="14"/>
  <c r="L57" i="14"/>
  <c r="H56" i="14"/>
  <c r="R56" i="14" s="1"/>
  <c r="I56" i="14"/>
  <c r="J56" i="14" s="1"/>
  <c r="Q56" i="14" s="1"/>
  <c r="P57" i="17"/>
  <c r="G58" i="14" a="1"/>
  <c r="N58" i="18" a="1"/>
  <c r="J58" i="18" a="1"/>
  <c r="K58" i="14" a="1"/>
  <c r="I56" i="18" l="1"/>
  <c r="T56" i="18" s="1"/>
  <c r="G57" i="18"/>
  <c r="R57" i="18" s="1"/>
  <c r="O57" i="18"/>
  <c r="Q57" i="17"/>
  <c r="R57" i="17" s="1"/>
  <c r="H50" i="17"/>
  <c r="I50" i="17" s="1"/>
  <c r="L49" i="17"/>
  <c r="N49" i="17"/>
  <c r="O49" i="17" s="1"/>
  <c r="D52" i="17"/>
  <c r="F51" i="17"/>
  <c r="G51" i="17" a="1"/>
  <c r="G51" i="17" s="1"/>
  <c r="E51" i="17"/>
  <c r="J50" i="17"/>
  <c r="K50" i="17"/>
  <c r="N50" i="17" s="1"/>
  <c r="N58" i="18"/>
  <c r="J58" i="18"/>
  <c r="Q58" i="18"/>
  <c r="F59" i="18"/>
  <c r="H58" i="18"/>
  <c r="S57" i="18"/>
  <c r="K57" i="18"/>
  <c r="L57" i="18"/>
  <c r="M57" i="18" s="1"/>
  <c r="M57" i="14"/>
  <c r="F61" i="14"/>
  <c r="P60" i="14"/>
  <c r="G58" i="14"/>
  <c r="K58" i="14"/>
  <c r="S58" i="14" s="1"/>
  <c r="L58" i="14"/>
  <c r="I57" i="14"/>
  <c r="J57" i="14" s="1"/>
  <c r="Q57" i="14" s="1"/>
  <c r="H57" i="14"/>
  <c r="R57" i="14" s="1"/>
  <c r="J59" i="18" a="1"/>
  <c r="N59" i="18" a="1"/>
  <c r="P58" i="17"/>
  <c r="G59" i="14" a="1"/>
  <c r="K59" i="14" a="1"/>
  <c r="I57" i="18" l="1"/>
  <c r="T57" i="18" s="1"/>
  <c r="G58" i="18"/>
  <c r="R58" i="18" s="1"/>
  <c r="O58" i="18"/>
  <c r="M58" i="14"/>
  <c r="Q58" i="17"/>
  <c r="R58" i="17" s="1"/>
  <c r="H51" i="17"/>
  <c r="I51" i="17" s="1"/>
  <c r="L50" i="17"/>
  <c r="M50" i="17"/>
  <c r="O50" i="17" s="1"/>
  <c r="D53" i="17"/>
  <c r="F52" i="17"/>
  <c r="G52" i="17" a="1"/>
  <c r="G52" i="17" s="1"/>
  <c r="E52" i="17"/>
  <c r="J51" i="17"/>
  <c r="M51" i="17" s="1"/>
  <c r="K51" i="17"/>
  <c r="N59" i="18"/>
  <c r="J59" i="18"/>
  <c r="F60" i="18"/>
  <c r="H59" i="18"/>
  <c r="Q59" i="18"/>
  <c r="S58" i="18"/>
  <c r="K58" i="18"/>
  <c r="L58" i="18"/>
  <c r="M58" i="18" s="1"/>
  <c r="F62" i="14"/>
  <c r="P61" i="14"/>
  <c r="G59" i="14"/>
  <c r="K59" i="14"/>
  <c r="S59" i="14" s="1"/>
  <c r="L59" i="14"/>
  <c r="I58" i="14"/>
  <c r="J58" i="14" s="1"/>
  <c r="Q58" i="14" s="1"/>
  <c r="H58" i="14"/>
  <c r="R58" i="14" s="1"/>
  <c r="K60" i="14" a="1"/>
  <c r="P59" i="17"/>
  <c r="G60" i="14" a="1"/>
  <c r="N60" i="18" a="1"/>
  <c r="J60" i="18" a="1"/>
  <c r="I58" i="18" l="1"/>
  <c r="T58" i="18" s="1"/>
  <c r="G59" i="18"/>
  <c r="R59" i="18" s="1"/>
  <c r="O59" i="18"/>
  <c r="Q59" i="17"/>
  <c r="R59" i="17" s="1"/>
  <c r="H52" i="17"/>
  <c r="I52" i="17" s="1"/>
  <c r="L51" i="17"/>
  <c r="N51" i="17"/>
  <c r="O51" i="17" s="1"/>
  <c r="D54" i="17"/>
  <c r="F53" i="17"/>
  <c r="G53" i="17" a="1"/>
  <c r="G53" i="17" s="1"/>
  <c r="E53" i="17"/>
  <c r="J52" i="17"/>
  <c r="K52" i="17"/>
  <c r="N52" i="17" s="1"/>
  <c r="N60" i="18"/>
  <c r="J60" i="18"/>
  <c r="S59" i="18"/>
  <c r="H60" i="18"/>
  <c r="Q60" i="18"/>
  <c r="F61" i="18"/>
  <c r="K59" i="18"/>
  <c r="L59" i="18"/>
  <c r="M59" i="18" s="1"/>
  <c r="M59" i="14"/>
  <c r="F63" i="14"/>
  <c r="P62" i="14"/>
  <c r="K60" i="14"/>
  <c r="S60" i="14" s="1"/>
  <c r="G60" i="14"/>
  <c r="L60" i="14"/>
  <c r="H59" i="14"/>
  <c r="R59" i="14" s="1"/>
  <c r="I59" i="14"/>
  <c r="J59" i="14" s="1"/>
  <c r="Q59" i="14" s="1"/>
  <c r="P60" i="17"/>
  <c r="G61" i="14" a="1"/>
  <c r="N61" i="18" a="1"/>
  <c r="J61" i="18" a="1"/>
  <c r="K61" i="14" a="1"/>
  <c r="M60" i="14" l="1"/>
  <c r="I59" i="18"/>
  <c r="T59" i="18" s="1"/>
  <c r="G60" i="18"/>
  <c r="R60" i="18" s="1"/>
  <c r="O60" i="18"/>
  <c r="Q60" i="17"/>
  <c r="R60" i="17" s="1"/>
  <c r="H53" i="17"/>
  <c r="I53" i="17" s="1"/>
  <c r="L52" i="17"/>
  <c r="M52" i="17"/>
  <c r="O52" i="17" s="1"/>
  <c r="D55" i="17"/>
  <c r="F54" i="17"/>
  <c r="G54" i="17" a="1"/>
  <c r="G54" i="17" s="1"/>
  <c r="E54" i="17"/>
  <c r="J53" i="17"/>
  <c r="M53" i="17" s="1"/>
  <c r="K53" i="17"/>
  <c r="J61" i="18"/>
  <c r="N61" i="18"/>
  <c r="S60" i="18"/>
  <c r="K60" i="18"/>
  <c r="L60" i="18"/>
  <c r="M60" i="18" s="1"/>
  <c r="F62" i="18"/>
  <c r="Q61" i="18"/>
  <c r="H61" i="18"/>
  <c r="F64" i="14"/>
  <c r="P63" i="14"/>
  <c r="G61" i="14"/>
  <c r="K61" i="14"/>
  <c r="S61" i="14" s="1"/>
  <c r="L61" i="14"/>
  <c r="I60" i="14"/>
  <c r="J60" i="14" s="1"/>
  <c r="Q60" i="14" s="1"/>
  <c r="H60" i="14"/>
  <c r="R60" i="14" s="1"/>
  <c r="N62" i="18" a="1"/>
  <c r="K62" i="14" a="1"/>
  <c r="G62" i="14" a="1"/>
  <c r="P61" i="17"/>
  <c r="J62" i="18" a="1"/>
  <c r="I60" i="18" l="1"/>
  <c r="T60" i="18" s="1"/>
  <c r="G61" i="18"/>
  <c r="R61" i="18" s="1"/>
  <c r="O61" i="18"/>
  <c r="Q61" i="17"/>
  <c r="R61" i="17" s="1"/>
  <c r="H54" i="17"/>
  <c r="I54" i="17" s="1"/>
  <c r="L53" i="17"/>
  <c r="N53" i="17"/>
  <c r="O53" i="17" s="1"/>
  <c r="D56" i="17"/>
  <c r="F55" i="17"/>
  <c r="G55" i="17" a="1"/>
  <c r="G55" i="17" s="1"/>
  <c r="E55" i="17"/>
  <c r="J54" i="17"/>
  <c r="M54" i="17" s="1"/>
  <c r="K54" i="17"/>
  <c r="N62" i="18"/>
  <c r="J62" i="18"/>
  <c r="S61" i="18"/>
  <c r="Q62" i="18"/>
  <c r="F63" i="18"/>
  <c r="H62" i="18"/>
  <c r="K61" i="18"/>
  <c r="L61" i="18"/>
  <c r="M61" i="18" s="1"/>
  <c r="M61" i="14"/>
  <c r="F65" i="14"/>
  <c r="P64" i="14"/>
  <c r="K62" i="14"/>
  <c r="S62" i="14" s="1"/>
  <c r="G62" i="14"/>
  <c r="L62" i="14"/>
  <c r="H61" i="14"/>
  <c r="R61" i="14" s="1"/>
  <c r="I61" i="14"/>
  <c r="J61" i="14" s="1"/>
  <c r="Q61" i="14" s="1"/>
  <c r="P62" i="17"/>
  <c r="G63" i="14" a="1"/>
  <c r="N63" i="18" a="1"/>
  <c r="J63" i="18" a="1"/>
  <c r="K63" i="14" a="1"/>
  <c r="I61" i="18" l="1"/>
  <c r="T61" i="18" s="1"/>
  <c r="G62" i="18"/>
  <c r="R62" i="18" s="1"/>
  <c r="O62" i="18"/>
  <c r="Q62" i="17"/>
  <c r="R62" i="17" s="1"/>
  <c r="H55" i="17"/>
  <c r="I55" i="17" s="1"/>
  <c r="L54" i="17"/>
  <c r="N54" i="17"/>
  <c r="O54" i="17" s="1"/>
  <c r="D57" i="17"/>
  <c r="F56" i="17"/>
  <c r="G56" i="17" a="1"/>
  <c r="G56" i="17" s="1"/>
  <c r="E56" i="17"/>
  <c r="J55" i="17"/>
  <c r="K55" i="17"/>
  <c r="N55" i="17" s="1"/>
  <c r="N63" i="18"/>
  <c r="J63" i="18"/>
  <c r="S62" i="18"/>
  <c r="L62" i="18"/>
  <c r="M62" i="18" s="1"/>
  <c r="K62" i="18"/>
  <c r="F64" i="18"/>
  <c r="Q63" i="18"/>
  <c r="H63" i="18"/>
  <c r="M62" i="14"/>
  <c r="F66" i="14"/>
  <c r="P65" i="14"/>
  <c r="G63" i="14"/>
  <c r="K63" i="14"/>
  <c r="S63" i="14" s="1"/>
  <c r="L63" i="14"/>
  <c r="H62" i="14"/>
  <c r="R62" i="14" s="1"/>
  <c r="I62" i="14"/>
  <c r="J62" i="14" s="1"/>
  <c r="Q62" i="14" s="1"/>
  <c r="J64" i="18" a="1"/>
  <c r="N64" i="18" a="1"/>
  <c r="P63" i="17"/>
  <c r="G64" i="14" a="1"/>
  <c r="K64" i="14" a="1"/>
  <c r="I62" i="18" l="1"/>
  <c r="T62" i="18" s="1"/>
  <c r="G63" i="18"/>
  <c r="R63" i="18" s="1"/>
  <c r="O63" i="18"/>
  <c r="Q63" i="17"/>
  <c r="R63" i="17" s="1"/>
  <c r="H56" i="17"/>
  <c r="I56" i="17" s="1"/>
  <c r="L55" i="17"/>
  <c r="M55" i="17"/>
  <c r="O55" i="17" s="1"/>
  <c r="D58" i="17"/>
  <c r="F57" i="17"/>
  <c r="E57" i="17"/>
  <c r="G57" i="17" a="1"/>
  <c r="G57" i="17" s="1"/>
  <c r="J56" i="17"/>
  <c r="M56" i="17" s="1"/>
  <c r="K56" i="17"/>
  <c r="N64" i="18"/>
  <c r="J64" i="18"/>
  <c r="L63" i="18"/>
  <c r="M63" i="18" s="1"/>
  <c r="K63" i="18"/>
  <c r="S63" i="18"/>
  <c r="F65" i="18"/>
  <c r="Q64" i="18"/>
  <c r="H64" i="18"/>
  <c r="M63" i="14"/>
  <c r="F67" i="14"/>
  <c r="P66" i="14"/>
  <c r="K64" i="14"/>
  <c r="S64" i="14" s="1"/>
  <c r="G64" i="14"/>
  <c r="L64" i="14"/>
  <c r="H63" i="14"/>
  <c r="R63" i="14" s="1"/>
  <c r="I63" i="14"/>
  <c r="J63" i="14" s="1"/>
  <c r="Q63" i="14" s="1"/>
  <c r="P64" i="17"/>
  <c r="K65" i="14" a="1"/>
  <c r="G65" i="14" a="1"/>
  <c r="N65" i="18" a="1"/>
  <c r="J65" i="18" a="1"/>
  <c r="M64" i="14" l="1"/>
  <c r="I63" i="18"/>
  <c r="T63" i="18" s="1"/>
  <c r="G64" i="18"/>
  <c r="R64" i="18" s="1"/>
  <c r="O64" i="18"/>
  <c r="Q64" i="17"/>
  <c r="R64" i="17" s="1"/>
  <c r="H57" i="17"/>
  <c r="I57" i="17" s="1"/>
  <c r="L56" i="17"/>
  <c r="N56" i="17"/>
  <c r="O56" i="17" s="1"/>
  <c r="D59" i="17"/>
  <c r="F58" i="17"/>
  <c r="E58" i="17"/>
  <c r="G58" i="17" a="1"/>
  <c r="G58" i="17" s="1"/>
  <c r="J57" i="17"/>
  <c r="K57" i="17"/>
  <c r="N57" i="17" s="1"/>
  <c r="J65" i="18"/>
  <c r="N65" i="18"/>
  <c r="Q65" i="18"/>
  <c r="H65" i="18"/>
  <c r="F66" i="18"/>
  <c r="K64" i="18"/>
  <c r="L64" i="18"/>
  <c r="M64" i="18" s="1"/>
  <c r="S64" i="18"/>
  <c r="I64" i="18"/>
  <c r="T64" i="18" s="1"/>
  <c r="F68" i="14"/>
  <c r="P67" i="14"/>
  <c r="K65" i="14"/>
  <c r="S65" i="14" s="1"/>
  <c r="G65" i="14"/>
  <c r="L65" i="14"/>
  <c r="I64" i="14"/>
  <c r="J64" i="14" s="1"/>
  <c r="Q64" i="14" s="1"/>
  <c r="H64" i="14"/>
  <c r="R64" i="14" s="1"/>
  <c r="P65" i="17"/>
  <c r="K66" i="14" a="1"/>
  <c r="G66" i="14" a="1"/>
  <c r="N66" i="18" a="1"/>
  <c r="J66" i="18" a="1"/>
  <c r="G65" i="18" l="1"/>
  <c r="R65" i="18" s="1"/>
  <c r="O65" i="18"/>
  <c r="Q65" i="17"/>
  <c r="R65" i="17" s="1"/>
  <c r="H58" i="17"/>
  <c r="I58" i="17" s="1"/>
  <c r="L57" i="17"/>
  <c r="M57" i="17"/>
  <c r="O57" i="17" s="1"/>
  <c r="D60" i="17"/>
  <c r="F59" i="17"/>
  <c r="E59" i="17"/>
  <c r="G59" i="17" a="1"/>
  <c r="G59" i="17" s="1"/>
  <c r="J58" i="17"/>
  <c r="K58" i="17"/>
  <c r="N58" i="17" s="1"/>
  <c r="N66" i="18"/>
  <c r="J66" i="18"/>
  <c r="S65" i="18"/>
  <c r="Q66" i="18"/>
  <c r="F67" i="18"/>
  <c r="H66" i="18"/>
  <c r="K65" i="18"/>
  <c r="L65" i="18"/>
  <c r="M65" i="18" s="1"/>
  <c r="M65" i="14"/>
  <c r="F69" i="14"/>
  <c r="P68" i="14"/>
  <c r="K66" i="14"/>
  <c r="S66" i="14" s="1"/>
  <c r="G66" i="14"/>
  <c r="L66" i="14"/>
  <c r="I65" i="14"/>
  <c r="J65" i="14" s="1"/>
  <c r="Q65" i="14" s="1"/>
  <c r="H65" i="14"/>
  <c r="R65" i="14" s="1"/>
  <c r="G67" i="14" a="1"/>
  <c r="N67" i="18" a="1"/>
  <c r="K67" i="14" a="1"/>
  <c r="J67" i="18" a="1"/>
  <c r="P66" i="17"/>
  <c r="M66" i="14" l="1"/>
  <c r="I65" i="18"/>
  <c r="T65" i="18" s="1"/>
  <c r="G66" i="18"/>
  <c r="R66" i="18" s="1"/>
  <c r="O66" i="18"/>
  <c r="Q66" i="17"/>
  <c r="R66" i="17" s="1"/>
  <c r="H59" i="17"/>
  <c r="I59" i="17" s="1"/>
  <c r="L58" i="17"/>
  <c r="M58" i="17"/>
  <c r="O58" i="17" s="1"/>
  <c r="D61" i="17"/>
  <c r="F60" i="17"/>
  <c r="G60" i="17" a="1"/>
  <c r="G60" i="17" s="1"/>
  <c r="E60" i="17"/>
  <c r="J59" i="17"/>
  <c r="M59" i="17" s="1"/>
  <c r="K59" i="17"/>
  <c r="N67" i="18"/>
  <c r="J67" i="18"/>
  <c r="F68" i="18"/>
  <c r="Q67" i="18"/>
  <c r="H67" i="18"/>
  <c r="L66" i="18"/>
  <c r="M66" i="18" s="1"/>
  <c r="K66" i="18"/>
  <c r="S66" i="18"/>
  <c r="F70" i="14"/>
  <c r="P69" i="14"/>
  <c r="K67" i="14"/>
  <c r="S67" i="14" s="1"/>
  <c r="G67" i="14"/>
  <c r="L67" i="14"/>
  <c r="I66" i="14"/>
  <c r="J66" i="14" s="1"/>
  <c r="Q66" i="14" s="1"/>
  <c r="H66" i="14"/>
  <c r="R66" i="14" s="1"/>
  <c r="J68" i="18" a="1"/>
  <c r="N68" i="18" a="1"/>
  <c r="P67" i="17"/>
  <c r="K68" i="14" a="1"/>
  <c r="G68" i="14" a="1"/>
  <c r="I66" i="18" l="1"/>
  <c r="T66" i="18" s="1"/>
  <c r="G67" i="18"/>
  <c r="R67" i="18" s="1"/>
  <c r="O67" i="18"/>
  <c r="Q67" i="17"/>
  <c r="R67" i="17" s="1"/>
  <c r="H60" i="17"/>
  <c r="I60" i="17" s="1"/>
  <c r="L59" i="17"/>
  <c r="N59" i="17"/>
  <c r="O59" i="17" s="1"/>
  <c r="D62" i="17"/>
  <c r="F61" i="17"/>
  <c r="G61" i="17" a="1"/>
  <c r="G61" i="17" s="1"/>
  <c r="E61" i="17"/>
  <c r="J60" i="17"/>
  <c r="K60" i="17"/>
  <c r="N60" i="17" s="1"/>
  <c r="M67" i="14"/>
  <c r="N68" i="18"/>
  <c r="J68" i="18"/>
  <c r="S67" i="18"/>
  <c r="L67" i="18"/>
  <c r="M67" i="18" s="1"/>
  <c r="K67" i="18"/>
  <c r="F69" i="18"/>
  <c r="Q68" i="18"/>
  <c r="H68" i="18"/>
  <c r="F71" i="14"/>
  <c r="P70" i="14"/>
  <c r="G68" i="14"/>
  <c r="K68" i="14"/>
  <c r="S68" i="14" s="1"/>
  <c r="L68" i="14"/>
  <c r="H67" i="14"/>
  <c r="R67" i="14" s="1"/>
  <c r="I67" i="14"/>
  <c r="J67" i="14" s="1"/>
  <c r="Q67" i="14" s="1"/>
  <c r="J69" i="18" a="1"/>
  <c r="G69" i="14" a="1"/>
  <c r="K69" i="14" a="1"/>
  <c r="P68" i="17"/>
  <c r="N69" i="18" a="1"/>
  <c r="M68" i="14" l="1"/>
  <c r="I67" i="18"/>
  <c r="T67" i="18" s="1"/>
  <c r="G68" i="18"/>
  <c r="R68" i="18" s="1"/>
  <c r="O68" i="18"/>
  <c r="Q68" i="17"/>
  <c r="R68" i="17" s="1"/>
  <c r="H61" i="17"/>
  <c r="I61" i="17" s="1"/>
  <c r="L60" i="17"/>
  <c r="M60" i="17"/>
  <c r="O60" i="17" s="1"/>
  <c r="D63" i="17"/>
  <c r="F62" i="17"/>
  <c r="G62" i="17" a="1"/>
  <c r="G62" i="17" s="1"/>
  <c r="E62" i="17"/>
  <c r="J61" i="17"/>
  <c r="M61" i="17" s="1"/>
  <c r="K61" i="17"/>
  <c r="J69" i="18"/>
  <c r="N69" i="18"/>
  <c r="Q69" i="18"/>
  <c r="H69" i="18"/>
  <c r="F70" i="18"/>
  <c r="S68" i="18"/>
  <c r="L68" i="18"/>
  <c r="M68" i="18" s="1"/>
  <c r="K68" i="18"/>
  <c r="F72" i="14"/>
  <c r="P71" i="14"/>
  <c r="K69" i="14"/>
  <c r="S69" i="14" s="1"/>
  <c r="G69" i="14"/>
  <c r="L69" i="14"/>
  <c r="I68" i="14"/>
  <c r="J68" i="14" s="1"/>
  <c r="Q68" i="14" s="1"/>
  <c r="H68" i="14"/>
  <c r="R68" i="14" s="1"/>
  <c r="K70" i="14" a="1"/>
  <c r="N70" i="18" a="1"/>
  <c r="J70" i="18" a="1"/>
  <c r="G70" i="14" a="1"/>
  <c r="P69" i="17"/>
  <c r="I68" i="18" l="1"/>
  <c r="T68" i="18" s="1"/>
  <c r="G69" i="18"/>
  <c r="R69" i="18" s="1"/>
  <c r="O69" i="18"/>
  <c r="Q69" i="17"/>
  <c r="R69" i="17" s="1"/>
  <c r="H62" i="17"/>
  <c r="I62" i="17" s="1"/>
  <c r="L61" i="17"/>
  <c r="N61" i="17"/>
  <c r="O61" i="17" s="1"/>
  <c r="D64" i="17"/>
  <c r="F63" i="17"/>
  <c r="G63" i="17" a="1"/>
  <c r="G63" i="17" s="1"/>
  <c r="E63" i="17"/>
  <c r="J62" i="17"/>
  <c r="K62" i="17"/>
  <c r="N62" i="17" s="1"/>
  <c r="N70" i="18"/>
  <c r="J70" i="18"/>
  <c r="S69" i="18"/>
  <c r="Q70" i="18"/>
  <c r="H70" i="18"/>
  <c r="F71" i="18"/>
  <c r="K69" i="18"/>
  <c r="L69" i="18"/>
  <c r="M69" i="18" s="1"/>
  <c r="M69" i="14"/>
  <c r="F73" i="14"/>
  <c r="P72" i="14"/>
  <c r="G70" i="14"/>
  <c r="K70" i="14"/>
  <c r="S70" i="14" s="1"/>
  <c r="L70" i="14"/>
  <c r="I69" i="14"/>
  <c r="J69" i="14" s="1"/>
  <c r="Q69" i="14" s="1"/>
  <c r="H69" i="14"/>
  <c r="R69" i="14" s="1"/>
  <c r="G71" i="14" a="1"/>
  <c r="N71" i="18" a="1"/>
  <c r="K71" i="14" a="1"/>
  <c r="J71" i="18" a="1"/>
  <c r="P70" i="17"/>
  <c r="I69" i="18" l="1"/>
  <c r="T69" i="18" s="1"/>
  <c r="G70" i="18"/>
  <c r="R70" i="18" s="1"/>
  <c r="O70" i="18"/>
  <c r="Q70" i="17"/>
  <c r="R70" i="17" s="1"/>
  <c r="H63" i="17"/>
  <c r="I63" i="17" s="1"/>
  <c r="L62" i="17"/>
  <c r="M62" i="17"/>
  <c r="O62" i="17" s="1"/>
  <c r="D65" i="17"/>
  <c r="F64" i="17"/>
  <c r="G64" i="17" a="1"/>
  <c r="G64" i="17" s="1"/>
  <c r="E64" i="17"/>
  <c r="J63" i="17"/>
  <c r="K63" i="17"/>
  <c r="N63" i="17" s="1"/>
  <c r="N71" i="18"/>
  <c r="J71" i="18"/>
  <c r="S70" i="18"/>
  <c r="K70" i="18"/>
  <c r="L70" i="18"/>
  <c r="M70" i="18" s="1"/>
  <c r="F72" i="18"/>
  <c r="Q71" i="18"/>
  <c r="H71" i="18"/>
  <c r="M70" i="14"/>
  <c r="F74" i="14"/>
  <c r="P73" i="14"/>
  <c r="G71" i="14"/>
  <c r="K71" i="14"/>
  <c r="S71" i="14" s="1"/>
  <c r="L71" i="14"/>
  <c r="H70" i="14"/>
  <c r="R70" i="14" s="1"/>
  <c r="I70" i="14"/>
  <c r="J70" i="14" s="1"/>
  <c r="Q70" i="14" s="1"/>
  <c r="J72" i="18" a="1"/>
  <c r="K72" i="14" a="1"/>
  <c r="P71" i="17"/>
  <c r="N72" i="18" a="1"/>
  <c r="G72" i="14" a="1"/>
  <c r="I70" i="18" l="1"/>
  <c r="T70" i="18" s="1"/>
  <c r="G71" i="18"/>
  <c r="R71" i="18" s="1"/>
  <c r="O71" i="18"/>
  <c r="Q71" i="17"/>
  <c r="R71" i="17" s="1"/>
  <c r="H64" i="17"/>
  <c r="I64" i="17" s="1"/>
  <c r="L63" i="17"/>
  <c r="M63" i="17"/>
  <c r="O63" i="17" s="1"/>
  <c r="D66" i="17"/>
  <c r="F65" i="17"/>
  <c r="E65" i="17"/>
  <c r="G65" i="17" a="1"/>
  <c r="G65" i="17" s="1"/>
  <c r="J64" i="17"/>
  <c r="M64" i="17" s="1"/>
  <c r="K64" i="17"/>
  <c r="J72" i="18"/>
  <c r="N72" i="18"/>
  <c r="H72" i="18"/>
  <c r="F73" i="18"/>
  <c r="Q72" i="18"/>
  <c r="L71" i="18"/>
  <c r="M71" i="18" s="1"/>
  <c r="K71" i="18"/>
  <c r="S71" i="18"/>
  <c r="F75" i="14"/>
  <c r="P74" i="14"/>
  <c r="M71" i="14"/>
  <c r="K72" i="14"/>
  <c r="S72" i="14" s="1"/>
  <c r="G72" i="14"/>
  <c r="L72" i="14"/>
  <c r="I71" i="14"/>
  <c r="J71" i="14" s="1"/>
  <c r="Q71" i="14" s="1"/>
  <c r="H71" i="14"/>
  <c r="R71" i="14" s="1"/>
  <c r="G73" i="14" a="1"/>
  <c r="N73" i="18" a="1"/>
  <c r="P72" i="17"/>
  <c r="K73" i="14" a="1"/>
  <c r="J73" i="18" a="1"/>
  <c r="I71" i="18" l="1"/>
  <c r="T71" i="18" s="1"/>
  <c r="M72" i="14"/>
  <c r="G72" i="18"/>
  <c r="R72" i="18" s="1"/>
  <c r="O72" i="18"/>
  <c r="Q72" i="17"/>
  <c r="R72" i="17" s="1"/>
  <c r="H65" i="17"/>
  <c r="I65" i="17" s="1"/>
  <c r="L64" i="17"/>
  <c r="N64" i="17"/>
  <c r="O64" i="17" s="1"/>
  <c r="D67" i="17"/>
  <c r="F66" i="17"/>
  <c r="E66" i="17"/>
  <c r="G66" i="17" a="1"/>
  <c r="G66" i="17" s="1"/>
  <c r="J65" i="17"/>
  <c r="K65" i="17"/>
  <c r="N65" i="17" s="1"/>
  <c r="J73" i="18"/>
  <c r="N73" i="18"/>
  <c r="H73" i="18"/>
  <c r="F74" i="18"/>
  <c r="Q73" i="18"/>
  <c r="S72" i="18"/>
  <c r="L72" i="18"/>
  <c r="M72" i="18" s="1"/>
  <c r="K72" i="18"/>
  <c r="F76" i="14"/>
  <c r="P75" i="14"/>
  <c r="G73" i="14"/>
  <c r="K73" i="14"/>
  <c r="S73" i="14" s="1"/>
  <c r="L73" i="14"/>
  <c r="H72" i="14"/>
  <c r="R72" i="14" s="1"/>
  <c r="I72" i="14"/>
  <c r="J72" i="14" s="1"/>
  <c r="Q72" i="14" s="1"/>
  <c r="G74" i="14" a="1"/>
  <c r="K74" i="14" a="1"/>
  <c r="P73" i="17"/>
  <c r="N74" i="18" a="1"/>
  <c r="J74" i="18" a="1"/>
  <c r="I72" i="18" l="1"/>
  <c r="T72" i="18" s="1"/>
  <c r="G73" i="18"/>
  <c r="R73" i="18" s="1"/>
  <c r="O73" i="18"/>
  <c r="Q73" i="17"/>
  <c r="R73" i="17" s="1"/>
  <c r="H66" i="17"/>
  <c r="I66" i="17" s="1"/>
  <c r="L65" i="17"/>
  <c r="M65" i="17"/>
  <c r="O65" i="17" s="1"/>
  <c r="D68" i="17"/>
  <c r="F67" i="17"/>
  <c r="E67" i="17"/>
  <c r="G67" i="17" a="1"/>
  <c r="G67" i="17" s="1"/>
  <c r="J66" i="17"/>
  <c r="M66" i="17" s="1"/>
  <c r="K66" i="17"/>
  <c r="N74" i="18"/>
  <c r="J74" i="18"/>
  <c r="Q74" i="18"/>
  <c r="F75" i="18"/>
  <c r="H74" i="18"/>
  <c r="S73" i="18"/>
  <c r="K73" i="18"/>
  <c r="L73" i="18"/>
  <c r="M73" i="18" s="1"/>
  <c r="M73" i="14"/>
  <c r="F77" i="14"/>
  <c r="P76" i="14"/>
  <c r="K74" i="14"/>
  <c r="S74" i="14" s="1"/>
  <c r="G74" i="14"/>
  <c r="L74" i="14"/>
  <c r="I73" i="14"/>
  <c r="J73" i="14" s="1"/>
  <c r="Q73" i="14" s="1"/>
  <c r="H73" i="14"/>
  <c r="R73" i="14" s="1"/>
  <c r="N75" i="18" a="1"/>
  <c r="K75" i="14" a="1"/>
  <c r="G75" i="14" a="1"/>
  <c r="P74" i="17"/>
  <c r="J75" i="18" a="1"/>
  <c r="M74" i="14" l="1"/>
  <c r="I73" i="18"/>
  <c r="T73" i="18" s="1"/>
  <c r="G74" i="18"/>
  <c r="R74" i="18" s="1"/>
  <c r="O74" i="18"/>
  <c r="Q74" i="17"/>
  <c r="R74" i="17" s="1"/>
  <c r="H67" i="17"/>
  <c r="I67" i="17" s="1"/>
  <c r="L66" i="17"/>
  <c r="N66" i="17"/>
  <c r="O66" i="17" s="1"/>
  <c r="D69" i="17"/>
  <c r="F68" i="17"/>
  <c r="E68" i="17"/>
  <c r="G68" i="17" a="1"/>
  <c r="G68" i="17" s="1"/>
  <c r="J67" i="17"/>
  <c r="K67" i="17"/>
  <c r="N67" i="17" s="1"/>
  <c r="N75" i="18"/>
  <c r="J75" i="18"/>
  <c r="F76" i="18"/>
  <c r="Q75" i="18"/>
  <c r="H75" i="18"/>
  <c r="L74" i="18"/>
  <c r="M74" i="18" s="1"/>
  <c r="K74" i="18"/>
  <c r="S74" i="18"/>
  <c r="F78" i="14"/>
  <c r="P77" i="14"/>
  <c r="G75" i="14"/>
  <c r="K75" i="14"/>
  <c r="S75" i="14" s="1"/>
  <c r="L75" i="14"/>
  <c r="H74" i="14"/>
  <c r="R74" i="14" s="1"/>
  <c r="I74" i="14"/>
  <c r="J74" i="14" s="1"/>
  <c r="Q74" i="14" s="1"/>
  <c r="P75" i="17"/>
  <c r="N76" i="18" a="1"/>
  <c r="K76" i="14" a="1"/>
  <c r="J76" i="18" a="1"/>
  <c r="G76" i="14" a="1"/>
  <c r="I74" i="18" l="1"/>
  <c r="T74" i="18" s="1"/>
  <c r="G75" i="18"/>
  <c r="R75" i="18" s="1"/>
  <c r="O75" i="18"/>
  <c r="Q75" i="17"/>
  <c r="R75" i="17" s="1"/>
  <c r="H68" i="17"/>
  <c r="I68" i="17" s="1"/>
  <c r="L67" i="17"/>
  <c r="M67" i="17"/>
  <c r="O67" i="17" s="1"/>
  <c r="D70" i="17"/>
  <c r="F69" i="17"/>
  <c r="E69" i="17"/>
  <c r="G69" i="17" a="1"/>
  <c r="G69" i="17" s="1"/>
  <c r="J68" i="17"/>
  <c r="K68" i="17"/>
  <c r="N68" i="17" s="1"/>
  <c r="N76" i="18"/>
  <c r="J76" i="18"/>
  <c r="H76" i="18"/>
  <c r="Q76" i="18"/>
  <c r="F77" i="18"/>
  <c r="K75" i="18"/>
  <c r="L75" i="18"/>
  <c r="M75" i="18" s="1"/>
  <c r="S75" i="18"/>
  <c r="M75" i="14"/>
  <c r="F79" i="14"/>
  <c r="P78" i="14"/>
  <c r="K76" i="14"/>
  <c r="S76" i="14" s="1"/>
  <c r="G76" i="14"/>
  <c r="L76" i="14"/>
  <c r="I75" i="14"/>
  <c r="J75" i="14" s="1"/>
  <c r="Q75" i="14" s="1"/>
  <c r="H75" i="14"/>
  <c r="R75" i="14" s="1"/>
  <c r="G77" i="14" a="1"/>
  <c r="J77" i="18" a="1"/>
  <c r="P76" i="17"/>
  <c r="K77" i="14" a="1"/>
  <c r="N77" i="18" a="1"/>
  <c r="I75" i="18" l="1"/>
  <c r="T75" i="18" s="1"/>
  <c r="G76" i="18"/>
  <c r="R76" i="18" s="1"/>
  <c r="O76" i="18"/>
  <c r="Q76" i="17"/>
  <c r="R76" i="17" s="1"/>
  <c r="H69" i="17"/>
  <c r="I69" i="17" s="1"/>
  <c r="L68" i="17"/>
  <c r="M68" i="17"/>
  <c r="O68" i="17" s="1"/>
  <c r="D71" i="17"/>
  <c r="F70" i="17"/>
  <c r="E70" i="17"/>
  <c r="G70" i="17" a="1"/>
  <c r="G70" i="17" s="1"/>
  <c r="J69" i="17"/>
  <c r="M69" i="17" s="1"/>
  <c r="K69" i="17"/>
  <c r="J77" i="18"/>
  <c r="N77" i="18"/>
  <c r="S76" i="18"/>
  <c r="Q77" i="18"/>
  <c r="F78" i="18"/>
  <c r="H77" i="18"/>
  <c r="L76" i="18"/>
  <c r="M76" i="18" s="1"/>
  <c r="K76" i="18"/>
  <c r="M76" i="14"/>
  <c r="F80" i="14"/>
  <c r="P79" i="14"/>
  <c r="K77" i="14"/>
  <c r="S77" i="14" s="1"/>
  <c r="G77" i="14"/>
  <c r="L77" i="14"/>
  <c r="H76" i="14"/>
  <c r="R76" i="14" s="1"/>
  <c r="I76" i="14"/>
  <c r="J76" i="14" s="1"/>
  <c r="Q76" i="14" s="1"/>
  <c r="J78" i="18" a="1"/>
  <c r="G78" i="14" a="1"/>
  <c r="N78" i="18" a="1"/>
  <c r="P77" i="17"/>
  <c r="K78" i="14" a="1"/>
  <c r="I76" i="18" l="1"/>
  <c r="T76" i="18" s="1"/>
  <c r="G77" i="18"/>
  <c r="R77" i="18" s="1"/>
  <c r="O77" i="18"/>
  <c r="Q77" i="17"/>
  <c r="R77" i="17" s="1"/>
  <c r="H70" i="17"/>
  <c r="I70" i="17" s="1"/>
  <c r="L69" i="17"/>
  <c r="N69" i="17"/>
  <c r="O69" i="17" s="1"/>
  <c r="D72" i="17"/>
  <c r="F71" i="17"/>
  <c r="G71" i="17" a="1"/>
  <c r="G71" i="17" s="1"/>
  <c r="E71" i="17"/>
  <c r="J70" i="17"/>
  <c r="K70" i="17"/>
  <c r="N70" i="17" s="1"/>
  <c r="N78" i="18"/>
  <c r="J78" i="18"/>
  <c r="Q78" i="18"/>
  <c r="H78" i="18"/>
  <c r="F79" i="18"/>
  <c r="S77" i="18"/>
  <c r="K77" i="18"/>
  <c r="L77" i="18"/>
  <c r="M77" i="18" s="1"/>
  <c r="M77" i="14"/>
  <c r="F81" i="14"/>
  <c r="P80" i="14"/>
  <c r="K78" i="14"/>
  <c r="S78" i="14" s="1"/>
  <c r="G78" i="14"/>
  <c r="L78" i="14"/>
  <c r="H77" i="14"/>
  <c r="R77" i="14" s="1"/>
  <c r="I77" i="14"/>
  <c r="J77" i="14" s="1"/>
  <c r="Q77" i="14" s="1"/>
  <c r="G79" i="14" a="1"/>
  <c r="K79" i="14" a="1"/>
  <c r="P78" i="17"/>
  <c r="J79" i="18" a="1"/>
  <c r="N79" i="18" a="1"/>
  <c r="I77" i="18" l="1"/>
  <c r="T77" i="18" s="1"/>
  <c r="G78" i="18"/>
  <c r="R78" i="18" s="1"/>
  <c r="O78" i="18"/>
  <c r="Q78" i="17"/>
  <c r="R78" i="17" s="1"/>
  <c r="H71" i="17"/>
  <c r="I71" i="17" s="1"/>
  <c r="L70" i="17"/>
  <c r="M70" i="17"/>
  <c r="O70" i="17" s="1"/>
  <c r="D73" i="17"/>
  <c r="F72" i="17"/>
  <c r="G72" i="17" a="1"/>
  <c r="G72" i="17" s="1"/>
  <c r="E72" i="17"/>
  <c r="J71" i="17"/>
  <c r="M71" i="17" s="1"/>
  <c r="K71" i="17"/>
  <c r="N79" i="18"/>
  <c r="J79" i="18"/>
  <c r="F80" i="18"/>
  <c r="Q79" i="18"/>
  <c r="H79" i="18"/>
  <c r="S78" i="18"/>
  <c r="L78" i="18"/>
  <c r="M78" i="18" s="1"/>
  <c r="K78" i="18"/>
  <c r="M78" i="14"/>
  <c r="F82" i="14"/>
  <c r="P81" i="14"/>
  <c r="K79" i="14"/>
  <c r="S79" i="14" s="1"/>
  <c r="G79" i="14"/>
  <c r="L79" i="14"/>
  <c r="H78" i="14"/>
  <c r="R78" i="14" s="1"/>
  <c r="I78" i="14"/>
  <c r="J78" i="14" s="1"/>
  <c r="Q78" i="14" s="1"/>
  <c r="J80" i="18" a="1"/>
  <c r="K80" i="14" a="1"/>
  <c r="N80" i="18" a="1"/>
  <c r="P79" i="17"/>
  <c r="G80" i="14" a="1"/>
  <c r="I78" i="18" l="1"/>
  <c r="T78" i="18" s="1"/>
  <c r="G79" i="18"/>
  <c r="R79" i="18" s="1"/>
  <c r="O79" i="18"/>
  <c r="Q79" i="17"/>
  <c r="R79" i="17" s="1"/>
  <c r="H72" i="17"/>
  <c r="I72" i="17" s="1"/>
  <c r="L71" i="17"/>
  <c r="N71" i="17"/>
  <c r="O71" i="17" s="1"/>
  <c r="D74" i="17"/>
  <c r="F73" i="17"/>
  <c r="G73" i="17" a="1"/>
  <c r="G73" i="17" s="1"/>
  <c r="E73" i="17"/>
  <c r="J72" i="17"/>
  <c r="K72" i="17"/>
  <c r="N72" i="17" s="1"/>
  <c r="J80" i="18"/>
  <c r="N80" i="18"/>
  <c r="S79" i="18"/>
  <c r="H80" i="18"/>
  <c r="F81" i="18"/>
  <c r="Q80" i="18"/>
  <c r="K79" i="18"/>
  <c r="L79" i="18"/>
  <c r="M79" i="18" s="1"/>
  <c r="F83" i="14"/>
  <c r="P82" i="14"/>
  <c r="K80" i="14"/>
  <c r="S80" i="14" s="1"/>
  <c r="G80" i="14"/>
  <c r="M79" i="14"/>
  <c r="L80" i="14"/>
  <c r="H79" i="14"/>
  <c r="R79" i="14" s="1"/>
  <c r="I79" i="14"/>
  <c r="J79" i="14" s="1"/>
  <c r="Q79" i="14" s="1"/>
  <c r="J81" i="18" a="1"/>
  <c r="G81" i="14" a="1"/>
  <c r="K81" i="14" a="1"/>
  <c r="P80" i="17"/>
  <c r="N81" i="18" a="1"/>
  <c r="I79" i="18" l="1"/>
  <c r="T79" i="18" s="1"/>
  <c r="G80" i="18"/>
  <c r="R80" i="18" s="1"/>
  <c r="O80" i="18"/>
  <c r="Q80" i="17"/>
  <c r="R80" i="17" s="1"/>
  <c r="H73" i="17"/>
  <c r="I73" i="17" s="1"/>
  <c r="L72" i="17"/>
  <c r="M72" i="17"/>
  <c r="O72" i="17" s="1"/>
  <c r="D75" i="17"/>
  <c r="F74" i="17"/>
  <c r="G74" i="17" a="1"/>
  <c r="G74" i="17" s="1"/>
  <c r="E74" i="17"/>
  <c r="J73" i="17"/>
  <c r="M73" i="17" s="1"/>
  <c r="K73" i="17"/>
  <c r="J81" i="18"/>
  <c r="N81" i="18"/>
  <c r="S80" i="18"/>
  <c r="Q81" i="18"/>
  <c r="F82" i="18"/>
  <c r="H81" i="18"/>
  <c r="L80" i="18"/>
  <c r="M80" i="18" s="1"/>
  <c r="K80" i="18"/>
  <c r="M80" i="14"/>
  <c r="F84" i="14"/>
  <c r="P83" i="14"/>
  <c r="G81" i="14"/>
  <c r="K81" i="14"/>
  <c r="S81" i="14" s="1"/>
  <c r="L81" i="14"/>
  <c r="I80" i="14"/>
  <c r="J80" i="14" s="1"/>
  <c r="Q80" i="14" s="1"/>
  <c r="H80" i="14"/>
  <c r="R80" i="14" s="1"/>
  <c r="P81" i="17"/>
  <c r="J82" i="18" a="1"/>
  <c r="G82" i="14" a="1"/>
  <c r="N82" i="18" a="1"/>
  <c r="K82" i="14" a="1"/>
  <c r="I80" i="18" l="1"/>
  <c r="T80" i="18" s="1"/>
  <c r="G81" i="18"/>
  <c r="R81" i="18" s="1"/>
  <c r="O81" i="18"/>
  <c r="Q81" i="17"/>
  <c r="R81" i="17" s="1"/>
  <c r="H74" i="17"/>
  <c r="I74" i="17" s="1"/>
  <c r="L73" i="17"/>
  <c r="N73" i="17"/>
  <c r="O73" i="17" s="1"/>
  <c r="D76" i="17"/>
  <c r="F75" i="17"/>
  <c r="G75" i="17" a="1"/>
  <c r="G75" i="17" s="1"/>
  <c r="E75" i="17"/>
  <c r="J74" i="17"/>
  <c r="M74" i="17" s="1"/>
  <c r="K74" i="17"/>
  <c r="N82" i="18"/>
  <c r="J82" i="18"/>
  <c r="S81" i="18"/>
  <c r="Q82" i="18"/>
  <c r="H82" i="18"/>
  <c r="F83" i="18"/>
  <c r="K81" i="18"/>
  <c r="L81" i="18"/>
  <c r="M81" i="18" s="1"/>
  <c r="M81" i="14"/>
  <c r="F85" i="14"/>
  <c r="P84" i="14"/>
  <c r="K82" i="14"/>
  <c r="S82" i="14" s="1"/>
  <c r="G82" i="14"/>
  <c r="L82" i="14"/>
  <c r="H81" i="14"/>
  <c r="R81" i="14" s="1"/>
  <c r="I81" i="14"/>
  <c r="J81" i="14" s="1"/>
  <c r="Q81" i="14" s="1"/>
  <c r="P82" i="17"/>
  <c r="G83" i="14" a="1"/>
  <c r="K83" i="14" a="1"/>
  <c r="N83" i="18" a="1"/>
  <c r="J83" i="18" a="1"/>
  <c r="I81" i="18" l="1"/>
  <c r="T81" i="18" s="1"/>
  <c r="G82" i="18"/>
  <c r="R82" i="18" s="1"/>
  <c r="O82" i="18"/>
  <c r="Q82" i="17"/>
  <c r="R82" i="17" s="1"/>
  <c r="H75" i="17"/>
  <c r="I75" i="17" s="1"/>
  <c r="L74" i="17"/>
  <c r="N74" i="17"/>
  <c r="O74" i="17" s="1"/>
  <c r="D77" i="17"/>
  <c r="F76" i="17"/>
  <c r="G76" i="17" a="1"/>
  <c r="G76" i="17" s="1"/>
  <c r="E76" i="17"/>
  <c r="J75" i="17"/>
  <c r="K75" i="17"/>
  <c r="N75" i="17" s="1"/>
  <c r="N83" i="18"/>
  <c r="J83" i="18"/>
  <c r="F84" i="18"/>
  <c r="Q83" i="18"/>
  <c r="H83" i="18"/>
  <c r="L82" i="18"/>
  <c r="M82" i="18" s="1"/>
  <c r="K82" i="18"/>
  <c r="S82" i="18"/>
  <c r="M82" i="14"/>
  <c r="F86" i="14"/>
  <c r="P85" i="14"/>
  <c r="G83" i="14"/>
  <c r="K83" i="14"/>
  <c r="S83" i="14" s="1"/>
  <c r="L83" i="14"/>
  <c r="I82" i="14"/>
  <c r="J82" i="14" s="1"/>
  <c r="Q82" i="14" s="1"/>
  <c r="H82" i="14"/>
  <c r="R82" i="14" s="1"/>
  <c r="J84" i="18" a="1"/>
  <c r="P83" i="17"/>
  <c r="G84" i="14" a="1"/>
  <c r="K84" i="14" a="1"/>
  <c r="N84" i="18" a="1"/>
  <c r="I82" i="18" l="1"/>
  <c r="T82" i="18" s="1"/>
  <c r="G83" i="18"/>
  <c r="R83" i="18" s="1"/>
  <c r="O83" i="18"/>
  <c r="Q83" i="17"/>
  <c r="R83" i="17" s="1"/>
  <c r="H76" i="17"/>
  <c r="I76" i="17" s="1"/>
  <c r="L75" i="17"/>
  <c r="M75" i="17"/>
  <c r="O75" i="17" s="1"/>
  <c r="D78" i="17"/>
  <c r="F77" i="17"/>
  <c r="E77" i="17"/>
  <c r="G77" i="17" a="1"/>
  <c r="G77" i="17" s="1"/>
  <c r="J76" i="17"/>
  <c r="M76" i="17" s="1"/>
  <c r="K76" i="17"/>
  <c r="N84" i="18"/>
  <c r="J84" i="18"/>
  <c r="L83" i="18"/>
  <c r="M83" i="18" s="1"/>
  <c r="K83" i="18"/>
  <c r="S83" i="18"/>
  <c r="F85" i="18"/>
  <c r="Q84" i="18"/>
  <c r="H84" i="18"/>
  <c r="M83" i="14"/>
  <c r="F87" i="14"/>
  <c r="P86" i="14"/>
  <c r="G84" i="14"/>
  <c r="K84" i="14"/>
  <c r="S84" i="14" s="1"/>
  <c r="L84" i="14"/>
  <c r="I83" i="14"/>
  <c r="J83" i="14" s="1"/>
  <c r="Q83" i="14" s="1"/>
  <c r="H83" i="14"/>
  <c r="R83" i="14" s="1"/>
  <c r="N85" i="18" a="1"/>
  <c r="G85" i="14" a="1"/>
  <c r="K85" i="14" a="1"/>
  <c r="J85" i="18" a="1"/>
  <c r="P84" i="17"/>
  <c r="I83" i="18" l="1"/>
  <c r="T83" i="18" s="1"/>
  <c r="G84" i="18"/>
  <c r="R84" i="18" s="1"/>
  <c r="O84" i="18"/>
  <c r="Q84" i="17"/>
  <c r="R84" i="17" s="1"/>
  <c r="H77" i="17"/>
  <c r="I77" i="17" s="1"/>
  <c r="L76" i="17"/>
  <c r="N76" i="17"/>
  <c r="O76" i="17" s="1"/>
  <c r="D79" i="17"/>
  <c r="F78" i="17"/>
  <c r="E78" i="17"/>
  <c r="G78" i="17" a="1"/>
  <c r="G78" i="17" s="1"/>
  <c r="J77" i="17"/>
  <c r="K77" i="17"/>
  <c r="N77" i="17" s="1"/>
  <c r="J85" i="18"/>
  <c r="N85" i="18"/>
  <c r="L84" i="18"/>
  <c r="M84" i="18" s="1"/>
  <c r="K84" i="18"/>
  <c r="S84" i="18"/>
  <c r="H85" i="18"/>
  <c r="F86" i="18"/>
  <c r="Q85" i="18"/>
  <c r="M84" i="14"/>
  <c r="F88" i="14"/>
  <c r="P87" i="14"/>
  <c r="G85" i="14"/>
  <c r="K85" i="14"/>
  <c r="S85" i="14" s="1"/>
  <c r="L85" i="14"/>
  <c r="H84" i="14"/>
  <c r="R84" i="14" s="1"/>
  <c r="I84" i="14"/>
  <c r="J84" i="14" s="1"/>
  <c r="Q84" i="14" s="1"/>
  <c r="G86" i="14" a="1"/>
  <c r="J86" i="18" a="1"/>
  <c r="K86" i="14" a="1"/>
  <c r="P85" i="17"/>
  <c r="N86" i="18" a="1"/>
  <c r="I84" i="18" l="1"/>
  <c r="T84" i="18" s="1"/>
  <c r="G85" i="18"/>
  <c r="R85" i="18" s="1"/>
  <c r="O85" i="18"/>
  <c r="Q85" i="17"/>
  <c r="R85" i="17" s="1"/>
  <c r="H78" i="17"/>
  <c r="I78" i="17" s="1"/>
  <c r="L77" i="17"/>
  <c r="M77" i="17"/>
  <c r="O77" i="17" s="1"/>
  <c r="D80" i="17"/>
  <c r="F79" i="17"/>
  <c r="E79" i="17"/>
  <c r="G79" i="17" a="1"/>
  <c r="G79" i="17" s="1"/>
  <c r="J78" i="17"/>
  <c r="M78" i="17" s="1"/>
  <c r="K78" i="17"/>
  <c r="N86" i="18"/>
  <c r="J86" i="18"/>
  <c r="S85" i="18"/>
  <c r="Q86" i="18"/>
  <c r="F87" i="18"/>
  <c r="H86" i="18"/>
  <c r="K85" i="18"/>
  <c r="L85" i="18"/>
  <c r="M85" i="18" s="1"/>
  <c r="M85" i="14"/>
  <c r="F89" i="14"/>
  <c r="P88" i="14"/>
  <c r="K86" i="14"/>
  <c r="S86" i="14" s="1"/>
  <c r="G86" i="14"/>
  <c r="L86" i="14"/>
  <c r="I85" i="14"/>
  <c r="J85" i="14" s="1"/>
  <c r="Q85" i="14" s="1"/>
  <c r="H85" i="14"/>
  <c r="R85" i="14" s="1"/>
  <c r="K87" i="14" a="1"/>
  <c r="P86" i="17"/>
  <c r="N87" i="18" a="1"/>
  <c r="J87" i="18" a="1"/>
  <c r="G87" i="14" a="1"/>
  <c r="I85" i="18" l="1"/>
  <c r="T85" i="18" s="1"/>
  <c r="G86" i="18"/>
  <c r="R86" i="18" s="1"/>
  <c r="O86" i="18"/>
  <c r="Q86" i="17"/>
  <c r="R86" i="17" s="1"/>
  <c r="H79" i="17"/>
  <c r="I79" i="17" s="1"/>
  <c r="L78" i="17"/>
  <c r="N78" i="17"/>
  <c r="O78" i="17" s="1"/>
  <c r="D81" i="17"/>
  <c r="F80" i="17"/>
  <c r="E80" i="17"/>
  <c r="G80" i="17" a="1"/>
  <c r="G80" i="17" s="1"/>
  <c r="J79" i="17"/>
  <c r="M79" i="17" s="1"/>
  <c r="K79" i="17"/>
  <c r="N87" i="18"/>
  <c r="J87" i="18"/>
  <c r="S86" i="18"/>
  <c r="L86" i="18"/>
  <c r="M86" i="18" s="1"/>
  <c r="K86" i="18"/>
  <c r="F88" i="18"/>
  <c r="H87" i="18"/>
  <c r="Q87" i="18"/>
  <c r="M86" i="14"/>
  <c r="F90" i="14"/>
  <c r="F91" i="14" s="1"/>
  <c r="F92" i="14" s="1"/>
  <c r="P89" i="14"/>
  <c r="G87" i="14"/>
  <c r="K87" i="14"/>
  <c r="S87" i="14" s="1"/>
  <c r="L87" i="14"/>
  <c r="H86" i="14"/>
  <c r="R86" i="14" s="1"/>
  <c r="I86" i="14"/>
  <c r="J86" i="14" s="1"/>
  <c r="Q86" i="14" s="1"/>
  <c r="J88" i="18" a="1"/>
  <c r="N88" i="18" a="1"/>
  <c r="K88" i="14" a="1"/>
  <c r="G88" i="14" a="1"/>
  <c r="P87" i="17"/>
  <c r="I86" i="18" l="1"/>
  <c r="T86" i="18" s="1"/>
  <c r="G87" i="18"/>
  <c r="R87" i="18" s="1"/>
  <c r="O87" i="18"/>
  <c r="Q87" i="17"/>
  <c r="R87" i="17" s="1"/>
  <c r="H80" i="17"/>
  <c r="I80" i="17" s="1"/>
  <c r="L79" i="17"/>
  <c r="N79" i="17"/>
  <c r="O79" i="17" s="1"/>
  <c r="D82" i="17"/>
  <c r="F81" i="17"/>
  <c r="E81" i="17"/>
  <c r="G81" i="17" a="1"/>
  <c r="G81" i="17" s="1"/>
  <c r="J80" i="17"/>
  <c r="K80" i="17"/>
  <c r="N80" i="17" s="1"/>
  <c r="N88" i="18"/>
  <c r="J88" i="18"/>
  <c r="L87" i="18"/>
  <c r="M87" i="18" s="1"/>
  <c r="K87" i="18"/>
  <c r="S87" i="18"/>
  <c r="F89" i="18"/>
  <c r="Q88" i="18"/>
  <c r="H88" i="18"/>
  <c r="M87" i="14"/>
  <c r="K88" i="14"/>
  <c r="S88" i="14" s="1"/>
  <c r="G88" i="14"/>
  <c r="L88" i="14"/>
  <c r="I87" i="14"/>
  <c r="J87" i="14" s="1"/>
  <c r="Q87" i="14" s="1"/>
  <c r="H87" i="14"/>
  <c r="R87" i="14" s="1"/>
  <c r="N89" i="18" a="1"/>
  <c r="P88" i="17"/>
  <c r="G89" i="14" a="1"/>
  <c r="K89" i="14" a="1"/>
  <c r="J89" i="18" a="1"/>
  <c r="M88" i="14" l="1"/>
  <c r="I87" i="18"/>
  <c r="T87" i="18" s="1"/>
  <c r="G88" i="18"/>
  <c r="R88" i="18" s="1"/>
  <c r="O88" i="18"/>
  <c r="Q88" i="17"/>
  <c r="R88" i="17" s="1"/>
  <c r="H81" i="17"/>
  <c r="I81" i="17" s="1"/>
  <c r="L80" i="17"/>
  <c r="M80" i="17"/>
  <c r="O80" i="17" s="1"/>
  <c r="D83" i="17"/>
  <c r="F82" i="17"/>
  <c r="E82" i="17"/>
  <c r="G82" i="17" a="1"/>
  <c r="G82" i="17" s="1"/>
  <c r="J81" i="17"/>
  <c r="M81" i="17" s="1"/>
  <c r="K81" i="17"/>
  <c r="J89" i="18"/>
  <c r="N89" i="18"/>
  <c r="S88" i="18"/>
  <c r="F90" i="18"/>
  <c r="H89" i="18"/>
  <c r="Q89" i="18"/>
  <c r="K88" i="18"/>
  <c r="L88" i="18"/>
  <c r="M88" i="18" s="1"/>
  <c r="K89" i="14"/>
  <c r="S89" i="14" s="1"/>
  <c r="G89" i="14"/>
  <c r="L89" i="14"/>
  <c r="H88" i="14"/>
  <c r="R88" i="14" s="1"/>
  <c r="I88" i="14"/>
  <c r="J88" i="14" s="1"/>
  <c r="Q88" i="14" s="1"/>
  <c r="N90" i="18" a="1"/>
  <c r="K90" i="14" a="1"/>
  <c r="J90" i="18" a="1"/>
  <c r="P89" i="17"/>
  <c r="G90" i="14" a="1"/>
  <c r="I88" i="18" l="1"/>
  <c r="T88" i="18" s="1"/>
  <c r="G89" i="18"/>
  <c r="R89" i="18" s="1"/>
  <c r="O89" i="18"/>
  <c r="Q89" i="17"/>
  <c r="R89" i="17" s="1"/>
  <c r="H82" i="17"/>
  <c r="I82" i="17" s="1"/>
  <c r="L81" i="17"/>
  <c r="N81" i="17"/>
  <c r="O81" i="17" s="1"/>
  <c r="D84" i="17"/>
  <c r="F83" i="17"/>
  <c r="E83" i="17"/>
  <c r="G83" i="17" a="1"/>
  <c r="G83" i="17" s="1"/>
  <c r="J82" i="17"/>
  <c r="K82" i="17"/>
  <c r="N82" i="17" s="1"/>
  <c r="N90" i="18"/>
  <c r="J90" i="18"/>
  <c r="F91" i="18"/>
  <c r="H90" i="18"/>
  <c r="S89" i="18"/>
  <c r="K89" i="18"/>
  <c r="L89" i="18"/>
  <c r="M89" i="18" s="1"/>
  <c r="M89" i="14"/>
  <c r="K90" i="14"/>
  <c r="G90" i="14"/>
  <c r="L90" i="14"/>
  <c r="H89" i="14"/>
  <c r="R89" i="14" s="1"/>
  <c r="I89" i="14"/>
  <c r="J89" i="14" s="1"/>
  <c r="Q89" i="14" s="1"/>
  <c r="P90" i="17"/>
  <c r="J91" i="18" a="1"/>
  <c r="G91" i="14" a="1"/>
  <c r="K91" i="14" a="1"/>
  <c r="N91" i="18" a="1"/>
  <c r="I89" i="18" l="1"/>
  <c r="T89" i="18" s="1"/>
  <c r="G90" i="18"/>
  <c r="I90" i="18" s="1"/>
  <c r="O90" i="18"/>
  <c r="Q90" i="17"/>
  <c r="R90" i="17" s="1"/>
  <c r="H83" i="17"/>
  <c r="I83" i="17" s="1"/>
  <c r="L82" i="17"/>
  <c r="M82" i="17"/>
  <c r="O82" i="17" s="1"/>
  <c r="D85" i="17"/>
  <c r="F84" i="17"/>
  <c r="E84" i="17"/>
  <c r="G84" i="17" a="1"/>
  <c r="G84" i="17" s="1"/>
  <c r="J83" i="17"/>
  <c r="M83" i="17" s="1"/>
  <c r="K83" i="17"/>
  <c r="N91" i="18"/>
  <c r="J91" i="18"/>
  <c r="F92" i="18"/>
  <c r="H91" i="18"/>
  <c r="L90" i="18"/>
  <c r="M90" i="18" s="1"/>
  <c r="K90" i="18"/>
  <c r="M90" i="14"/>
  <c r="K91" i="14"/>
  <c r="G91" i="14"/>
  <c r="L91" i="14"/>
  <c r="H90" i="14"/>
  <c r="I90" i="14"/>
  <c r="J90" i="14" s="1"/>
  <c r="P91" i="17"/>
  <c r="G92" i="14" a="1"/>
  <c r="J92" i="18" a="1"/>
  <c r="N92" i="18" a="1"/>
  <c r="K92" i="14" a="1"/>
  <c r="G91" i="18" l="1"/>
  <c r="I91" i="18" s="1"/>
  <c r="O91" i="18"/>
  <c r="M91" i="14"/>
  <c r="Q91" i="17"/>
  <c r="R91" i="17" s="1"/>
  <c r="H84" i="17"/>
  <c r="I84" i="17" s="1"/>
  <c r="L83" i="17"/>
  <c r="N83" i="17"/>
  <c r="O83" i="17" s="1"/>
  <c r="F85" i="17"/>
  <c r="E85" i="17"/>
  <c r="G85" i="17" a="1"/>
  <c r="G85" i="17" s="1"/>
  <c r="J85" i="17" s="1"/>
  <c r="J84" i="17"/>
  <c r="M84" i="17" s="1"/>
  <c r="K84" i="17"/>
  <c r="N92" i="18"/>
  <c r="J92" i="18"/>
  <c r="H92" i="18"/>
  <c r="K91" i="18"/>
  <c r="L91" i="18"/>
  <c r="M91" i="18" s="1"/>
  <c r="K92" i="14"/>
  <c r="G92" i="14"/>
  <c r="L92" i="14"/>
  <c r="I91" i="14"/>
  <c r="J91" i="14" s="1"/>
  <c r="H91" i="14"/>
  <c r="P92" i="17"/>
  <c r="M92" i="14" l="1"/>
  <c r="G92" i="18"/>
  <c r="I92" i="18" s="1"/>
  <c r="O92" i="18"/>
  <c r="Q92" i="17"/>
  <c r="R92" i="17" s="1"/>
  <c r="H85" i="17"/>
  <c r="I85" i="17" s="1"/>
  <c r="M85" i="17"/>
  <c r="L84" i="17"/>
  <c r="N84" i="17"/>
  <c r="O84" i="17" s="1"/>
  <c r="K85" i="17"/>
  <c r="N85" i="17" s="1"/>
  <c r="L92" i="18"/>
  <c r="M92" i="18" s="1"/>
  <c r="K92" i="18"/>
  <c r="H92" i="14"/>
  <c r="I92" i="14"/>
  <c r="J92" i="14" s="1"/>
  <c r="O85" i="17" l="1"/>
  <c r="L85" i="17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<sst xmlns="http://schemas.openxmlformats.org/spreadsheetml/2006/main" count="920" uniqueCount="141">
  <si>
    <t>Strike</t>
  </si>
  <si>
    <t>Error</t>
  </si>
  <si>
    <t>stock</t>
  </si>
  <si>
    <t>strike</t>
  </si>
  <si>
    <t>rate</t>
  </si>
  <si>
    <t>vol</t>
  </si>
  <si>
    <t>Time (in yrs)</t>
  </si>
  <si>
    <t>IV</t>
  </si>
  <si>
    <t>d1</t>
  </si>
  <si>
    <t>d2</t>
  </si>
  <si>
    <t>Delta</t>
  </si>
  <si>
    <t>Call Value</t>
  </si>
  <si>
    <t>Approximated Call Value</t>
  </si>
  <si>
    <t>N(d2)</t>
  </si>
  <si>
    <t>-</t>
  </si>
  <si>
    <t>Volatility</t>
  </si>
  <si>
    <t>N(d1)</t>
  </si>
  <si>
    <t>Approximated Straddle</t>
  </si>
  <si>
    <t>Black-Scholes Straddle</t>
  </si>
  <si>
    <t>Stock Price</t>
  </si>
  <si>
    <t>DTE</t>
  </si>
  <si>
    <t>Seed values</t>
  </si>
  <si>
    <t>Vol</t>
  </si>
  <si>
    <t>Spot</t>
  </si>
  <si>
    <t>Rate</t>
  </si>
  <si>
    <t>Share P/L</t>
  </si>
  <si>
    <t>OptionP/L</t>
  </si>
  <si>
    <t>Hedge Shares</t>
  </si>
  <si>
    <t>Daily</t>
  </si>
  <si>
    <t>Cumulative</t>
  </si>
  <si>
    <t>Total</t>
  </si>
  <si>
    <t>Option position</t>
  </si>
  <si>
    <t>Long</t>
  </si>
  <si>
    <t>Short</t>
  </si>
  <si>
    <t>put value</t>
  </si>
  <si>
    <t>Put N(d2)</t>
  </si>
  <si>
    <t>Put Value</t>
  </si>
  <si>
    <t>Call N(d2)</t>
  </si>
  <si>
    <t>Call Delta</t>
  </si>
  <si>
    <t>Trade date</t>
  </si>
  <si>
    <t>Expiry</t>
  </si>
  <si>
    <t>Put Delta</t>
  </si>
  <si>
    <t>May 13th</t>
  </si>
  <si>
    <t>The 2nd leg of the GME surge</t>
  </si>
  <si>
    <t>If the  $20 strike put was also 206% IV it's worth $4.32.</t>
  </si>
  <si>
    <t xml:space="preserve">If you suspect the spike would be short-lived than </t>
  </si>
  <si>
    <t xml:space="preserve">the 20/10 put spread looks  attractive. It would be trading for </t>
  </si>
  <si>
    <t>$3.58 (ie $4.32 - $.74). You could risk $3.58 to make $6.42</t>
  </si>
  <si>
    <t>or 1.8 to 1 if GME went back to where it was at the end of April.</t>
  </si>
  <si>
    <t>Notice how the probability of going ITM is 49% despite the strike being 33% out-of-the-money.</t>
  </si>
  <si>
    <t>And even though the probability looks high at nearly 50%, the delta is only .17</t>
  </si>
  <si>
    <t>Side</t>
  </si>
  <si>
    <t>Stock</t>
  </si>
  <si>
    <t>% OTM</t>
  </si>
  <si>
    <t>Bid-Ask</t>
  </si>
  <si>
    <t>Size</t>
  </si>
  <si>
    <t>Premium</t>
  </si>
  <si>
    <t>ASK</t>
  </si>
  <si>
    <t>$5.55 - $5.60</t>
  </si>
  <si>
    <t>$2.8M</t>
  </si>
  <si>
    <t>$5./5 -$5.20</t>
  </si>
  <si>
    <t>$2.6M</t>
  </si>
  <si>
    <t>BID</t>
  </si>
  <si>
    <t>$5.45 - $5.65</t>
  </si>
  <si>
    <t>$2.75M</t>
  </si>
  <si>
    <t>$6.20 - $6.50</t>
  </si>
  <si>
    <t>$3.25M</t>
  </si>
  <si>
    <t>$7.85 - $8.40</t>
  </si>
  <si>
    <t>$4.13M</t>
  </si>
  <si>
    <t>MID</t>
  </si>
  <si>
    <t>$3.45 - $3.55</t>
  </si>
  <si>
    <t>$1.75M</t>
  </si>
  <si>
    <t>$3.15 - $3.35</t>
  </si>
  <si>
    <t>$1.68M</t>
  </si>
  <si>
    <t>$6.30 - $6.85</t>
  </si>
  <si>
    <t>$3.38M</t>
  </si>
  <si>
    <t>$7.25 - $7.30</t>
  </si>
  <si>
    <t>$1.06M</t>
  </si>
  <si>
    <t>$7.00 - $7.05</t>
  </si>
  <si>
    <t>$3.53M</t>
  </si>
  <si>
    <t>$6.25 - $6.75</t>
  </si>
  <si>
    <t>$3.35M</t>
  </si>
  <si>
    <t>$5.95 - $6.25</t>
  </si>
  <si>
    <t>$3.13M</t>
  </si>
  <si>
    <t>$6.oo - $6.20</t>
  </si>
  <si>
    <t>$3.1M</t>
  </si>
  <si>
    <t>$5.60 - $5.80</t>
  </si>
  <si>
    <t>$2.9M</t>
  </si>
  <si>
    <t>$5.75 - $5.90</t>
  </si>
  <si>
    <t>$2.93M</t>
  </si>
  <si>
    <t>$5.30 - $5.50</t>
  </si>
  <si>
    <t>$4.95 - $5.05</t>
  </si>
  <si>
    <t>$2.5M</t>
  </si>
  <si>
    <t>$5.00 - $5.05</t>
  </si>
  <si>
    <t>$4.90 - $5.05</t>
  </si>
  <si>
    <t>$5.30 - $5.75</t>
  </si>
  <si>
    <t>$2.88M</t>
  </si>
  <si>
    <t>$5.oo - $5.65</t>
  </si>
  <si>
    <t>$4.70 - $5.oo</t>
  </si>
  <si>
    <t>$2.48M</t>
  </si>
  <si>
    <t>$4.90 - $5.20</t>
  </si>
  <si>
    <t>$4.30 - $4.85</t>
  </si>
  <si>
    <t>$2.42M</t>
  </si>
  <si>
    <t>$4.30 - $4.70</t>
  </si>
  <si>
    <t>$2.3M</t>
  </si>
  <si>
    <t>Date</t>
  </si>
  <si>
    <t>Rate:</t>
  </si>
  <si>
    <t xml:space="preserve">Option </t>
  </si>
  <si>
    <t>BS</t>
  </si>
  <si>
    <t>IV Guess</t>
  </si>
  <si>
    <t>Vega</t>
  </si>
  <si>
    <t>DATE</t>
  </si>
  <si>
    <t>SIDE</t>
  </si>
  <si>
    <t>STOCK</t>
  </si>
  <si>
    <t>BID-ASK</t>
  </si>
  <si>
    <t>PREMIUM</t>
  </si>
  <si>
    <t>SIZE</t>
  </si>
  <si>
    <t>$5.05 -$5.20</t>
  </si>
  <si>
    <t>#EEF945</t>
  </si>
  <si>
    <t>On Dark</t>
  </si>
  <si>
    <t>#7D819C</t>
  </si>
  <si>
    <t>#B5E8D9</t>
  </si>
  <si>
    <t>#6C54D6</t>
  </si>
  <si>
    <t>#99A4AA</t>
  </si>
  <si>
    <t>#5F8091</t>
  </si>
  <si>
    <t>On light</t>
  </si>
  <si>
    <t>#00607E</t>
  </si>
  <si>
    <t>#000000</t>
  </si>
  <si>
    <t>1C57A9</t>
  </si>
  <si>
    <t>#021D44</t>
  </si>
  <si>
    <t>#262986</t>
  </si>
  <si>
    <t>#509EB4</t>
  </si>
  <si>
    <t>Moontower.ai #7079F2</t>
  </si>
  <si>
    <t>Maroon        #B93148</t>
  </si>
  <si>
    <t>PRICE</t>
  </si>
  <si>
    <t>Hex code for fills</t>
  </si>
  <si>
    <t>Font Hex</t>
  </si>
  <si>
    <t>#7079F2</t>
  </si>
  <si>
    <t>#B93148</t>
  </si>
  <si>
    <t>3rd man yellow</t>
  </si>
  <si>
    <t>#FAD02C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</si>
</sst>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4" formatCode="_(&quot;$&quot;* #,##0.00_);_(&quot;$&quot;* \(#,##0.00\);_(&quot;$&quot;* &quot;-&quot;??_);_(@_)"/>
    <numFmt numFmtId="164" formatCode="0.0%"/>
    <numFmt numFmtId="165" formatCode="0.000"/>
    <numFmt numFmtId="166" formatCode="&quot;$&quot;#,##0.00"/>
    <numFmt numFmtId="167" formatCode="&quot;$&quot;#,##0.000"/>
    <numFmt numFmtId="168" formatCode="0.0000"/>
  </numFmts>
  <fonts count="4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4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11"/>
      <color theme="4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i/>
      <sz val="11"/>
      <color theme="4"/>
      <name val="Calibri"/>
      <family val="2"/>
      <scheme val="minor"/>
    </font>
    <font>
      <sz val="11"/>
      <color theme="1" tint="0.499984740745262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theme="4"/>
      <name val="Cascadia Code"/>
      <family val="3"/>
    </font>
    <font>
      <sz val="11"/>
      <color rgb="FFC00000"/>
      <name val="Calibri"/>
      <family val="2"/>
      <scheme val="minor"/>
    </font>
    <font>
      <i/>
      <sz val="11"/>
      <color rgb="FFC00000"/>
      <name val="Cascadia Code"/>
      <family val="3"/>
    </font>
    <font>
      <i/>
      <sz val="11"/>
      <color rgb="FFC00000"/>
      <name val="Calibri"/>
      <family val="2"/>
      <scheme val="minor"/>
    </font>
    <font>
      <sz val="11"/>
      <color rgb="FFFF0000"/>
      <name val="Calibri"/>
      <family val="2"/>
      <scheme val="minor"/>
    </font>
    <font>
      <sz val="10"/>
      <color theme="1"/>
      <name val="Source Sans Pro"/>
      <family val="2"/>
    </font>
    <font>
      <b/>
      <sz val="10"/>
      <color theme="1"/>
      <name val="Source Sans Pro"/>
      <family val="2"/>
    </font>
    <font>
      <sz val="10"/>
      <color rgb="FFFF0000"/>
      <name val="Source Sans Pro"/>
      <family val="2"/>
    </font>
    <font>
      <sz val="10"/>
      <color rgb="FFEEF945"/>
      <name val="Source Sans Pro"/>
      <family val="2"/>
    </font>
    <font>
      <b/>
      <sz val="10"/>
      <color rgb="FFEEF945"/>
      <name val="Source Sans Pro"/>
      <family val="2"/>
    </font>
    <font>
      <sz val="8"/>
      <name val="Calibri"/>
      <family val="2"/>
      <scheme val="minor"/>
    </font>
    <font>
      <sz val="10"/>
      <color rgb="FF1C57A9"/>
      <name val="Source Sans Pro"/>
      <family val="2"/>
    </font>
    <font>
      <sz val="10"/>
      <color theme="0"/>
      <name val="Source Sans Pro"/>
      <family val="2"/>
    </font>
    <font>
      <sz val="10"/>
      <color rgb="FF7D819C"/>
      <name val="Source Sans Pro"/>
      <family val="2"/>
    </font>
    <font>
      <sz val="10"/>
      <color rgb="FF6C54D6"/>
      <name val="Source Sans Pro"/>
      <family val="2"/>
    </font>
    <font>
      <sz val="10"/>
      <color rgb="FFB5E8D9"/>
      <name val="Source Sans Pro"/>
      <family val="2"/>
    </font>
    <font>
      <b/>
      <sz val="10"/>
      <color rgb="FF85E8D9"/>
      <name val="Source Sans Pro"/>
      <family val="2"/>
    </font>
    <font>
      <sz val="10"/>
      <color rgb="FF5F8091"/>
      <name val="Source Sans Pro"/>
      <family val="2"/>
    </font>
    <font>
      <sz val="10"/>
      <color rgb="FF99A4AA"/>
      <name val="Source Sans Pro"/>
      <family val="2"/>
    </font>
    <font>
      <sz val="10"/>
      <color rgb="FF00607E"/>
      <name val="Source Sans Pro"/>
      <family val="2"/>
    </font>
    <font>
      <sz val="10"/>
      <color rgb="FF021D44"/>
      <name val="Source Sans Pro"/>
      <family val="2"/>
    </font>
    <font>
      <sz val="10"/>
      <color rgb="FF509EB4"/>
      <name val="Source Sans Pro"/>
      <family val="2"/>
    </font>
    <font>
      <sz val="10"/>
      <color rgb="FF262986"/>
      <name val="Source Sans Pro"/>
      <family val="2"/>
    </font>
    <font>
      <b/>
      <sz val="10"/>
      <color rgb="FF939AF5"/>
      <name val="Source Sans Pro"/>
      <family val="2"/>
    </font>
    <font>
      <b/>
      <sz val="10"/>
      <color rgb="FFD67C8B"/>
      <name val="Source Sans Pro"/>
      <family val="2"/>
    </font>
    <font>
      <b/>
      <sz val="10"/>
      <color rgb="FF7079F2"/>
      <name val="Source Sans Pro"/>
      <family val="2"/>
    </font>
    <font>
      <b/>
      <sz val="10"/>
      <color rgb="FFB93148"/>
      <name val="Source Sans Pro"/>
      <family val="2"/>
    </font>
    <font>
      <b/>
      <sz val="10"/>
      <color rgb="FF00607E"/>
      <name val="Source Sans Pro"/>
      <family val="2"/>
    </font>
    <font>
      <b/>
      <sz val="10"/>
      <color rgb="FFECB6BF"/>
      <name val="Source Sans Pro"/>
      <family val="2"/>
    </font>
    <font>
      <sz val="10"/>
      <color rgb="FFB93148"/>
      <name val="Source Sans Pro"/>
      <family val="2"/>
    </font>
    <font>
      <sz val="10"/>
      <color rgb="FF7079F2"/>
      <name val="Source Sans Pro"/>
      <family val="2"/>
    </font>
    <font>
      <b/>
      <sz val="10"/>
      <color rgb="FFFCFC2A"/>
      <name val="Source Sans Pro"/>
      <family val="2"/>
    </font>
  </fonts>
  <fills count="3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8" tint="0.79998168889431442"/>
        <bgColor theme="4"/>
      </patternFill>
    </fill>
    <fill>
      <patternFill patternType="solid">
        <fgColor rgb="FFEEF945"/>
        <bgColor indexed="64"/>
      </patternFill>
    </fill>
    <fill>
      <patternFill patternType="solid">
        <fgColor rgb="FF7D819C"/>
        <bgColor indexed="64"/>
      </patternFill>
    </fill>
    <fill>
      <patternFill patternType="solid">
        <fgColor rgb="FFB5E8D9"/>
        <bgColor indexed="64"/>
      </patternFill>
    </fill>
    <fill>
      <patternFill patternType="solid">
        <fgColor rgb="FF6C54D6"/>
        <bgColor indexed="64"/>
      </patternFill>
    </fill>
    <fill>
      <patternFill patternType="solid">
        <fgColor rgb="FF99A4AA"/>
        <bgColor indexed="64"/>
      </patternFill>
    </fill>
    <fill>
      <patternFill patternType="solid">
        <fgColor rgb="FF5F809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00607E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1C57A9"/>
        <bgColor indexed="64"/>
      </patternFill>
    </fill>
    <fill>
      <patternFill patternType="solid">
        <fgColor rgb="FF021D44"/>
        <bgColor indexed="64"/>
      </patternFill>
    </fill>
    <fill>
      <patternFill patternType="solid">
        <fgColor rgb="FF262986"/>
        <bgColor indexed="64"/>
      </patternFill>
    </fill>
    <fill>
      <patternFill patternType="solid">
        <fgColor rgb="FF509EB4"/>
        <bgColor indexed="64"/>
      </patternFill>
    </fill>
    <fill>
      <patternFill patternType="solid">
        <fgColor rgb="FF7079F2"/>
        <bgColor indexed="64"/>
      </patternFill>
    </fill>
    <fill>
      <gradientFill degree="90">
        <stop position="0">
          <color rgb="FF75819C"/>
        </stop>
        <stop position="1">
          <color rgb="FFEBEBF1"/>
        </stop>
      </gradientFill>
    </fill>
    <fill>
      <gradientFill degree="90">
        <stop position="0">
          <color theme="1"/>
        </stop>
        <stop position="1">
          <color theme="1" tint="0.49803155613879818"/>
        </stop>
      </gradientFill>
    </fill>
    <fill>
      <patternFill patternType="solid">
        <fgColor rgb="FFB93148"/>
        <bgColor indexed="64"/>
      </patternFill>
    </fill>
    <fill>
      <gradientFill degree="90">
        <stop position="0">
          <color rgb="FF25C1AB"/>
        </stop>
        <stop position="1">
          <color rgb="FF85E8D9"/>
        </stop>
      </gradientFill>
    </fill>
    <fill>
      <gradientFill degree="90">
        <stop position="0">
          <color rgb="FFECB6BF"/>
        </stop>
        <stop position="1">
          <color rgb="FFF9E7EA"/>
        </stop>
      </gradientFill>
    </fill>
    <fill>
      <gradientFill degree="90">
        <stop position="0">
          <color rgb="FFC2C6FA"/>
        </stop>
        <stop position="1">
          <color rgb="FFE7E9FD"/>
        </stop>
      </gradientFill>
    </fill>
    <fill>
      <gradientFill degree="90">
        <stop position="0">
          <color rgb="FFD7D8E1"/>
        </stop>
        <stop position="1">
          <color theme="0"/>
        </stop>
      </gradientFill>
    </fill>
    <fill>
      <patternFill patternType="solid">
        <fgColor rgb="FFFCFC2A"/>
        <bgColor indexed="64"/>
      </patternFill>
    </fill>
    <fill>
      <gradientFill degree="90">
        <stop position="0">
          <color rgb="FFFFFB57"/>
        </stop>
        <stop position="1">
          <color rgb="FFFFFFEF"/>
        </stop>
      </gradientFill>
    </fill>
    <fill>
      <gradientFill degree="90">
        <stop position="0">
          <color rgb="FFD7E707"/>
        </stop>
        <stop position="1">
          <color rgb="FFF2FB7D"/>
        </stop>
      </gradientFill>
    </fill>
    <fill>
      <gradientFill degree="90">
        <stop position="0">
          <color theme="0" tint="-0.1490218817712943"/>
        </stop>
        <stop position="1">
          <color rgb="FFF0F0F4"/>
        </stop>
      </gradientFill>
    </fill>
    <fill>
      <gradientFill degree="90">
        <stop position="0">
          <color rgb="FFB5E8D9"/>
        </stop>
        <stop position="1">
          <color rgb="FFF0F0F4"/>
        </stop>
      </gradientFill>
    </fill>
    <fill>
      <patternFill patternType="solid">
        <fgColor theme="1" tint="0.14999847407452621"/>
        <bgColor indexed="64"/>
      </patternFill>
    </fill>
    <fill>
      <gradientFill degree="90">
        <stop position="0">
          <color rgb="FFB0CCF2"/>
        </stop>
        <stop position="1">
          <color rgb="FFF0F0F4"/>
        </stop>
      </gradientFill>
    </fill>
    <fill>
      <gradientFill degree="90">
        <stop position="0">
          <color theme="0" tint="-5.0965910824915313E-2"/>
        </stop>
        <stop position="1">
          <color theme="0"/>
        </stop>
      </gradientFill>
    </fill>
  </fills>
  <borders count="3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theme="4"/>
      </left>
      <right/>
      <top style="thin">
        <color theme="4"/>
      </top>
      <bottom/>
      <diagonal/>
    </border>
    <border>
      <left/>
      <right/>
      <top style="thin">
        <color theme="4"/>
      </top>
      <bottom/>
      <diagonal/>
    </border>
    <border>
      <left/>
      <right style="thin">
        <color theme="4"/>
      </right>
      <top style="thin">
        <color theme="4"/>
      </top>
      <bottom/>
      <diagonal/>
    </border>
    <border>
      <left style="thin">
        <color theme="4"/>
      </left>
      <right/>
      <top style="thin">
        <color theme="4"/>
      </top>
      <bottom style="thin">
        <color theme="4"/>
      </bottom>
      <diagonal/>
    </border>
    <border>
      <left/>
      <right style="thin">
        <color indexed="64"/>
      </right>
      <top/>
      <bottom style="thin">
        <color theme="4"/>
      </bottom>
      <diagonal/>
    </border>
    <border>
      <left/>
      <right style="thin">
        <color indexed="64"/>
      </right>
      <top style="thin">
        <color theme="4"/>
      </top>
      <bottom/>
      <diagonal/>
    </border>
    <border>
      <left/>
      <right style="thin">
        <color indexed="64"/>
      </right>
      <top style="thin">
        <color theme="4"/>
      </top>
      <bottom style="thin">
        <color theme="4"/>
      </bottom>
      <diagonal/>
    </border>
    <border>
      <left style="thin">
        <color theme="4"/>
      </left>
      <right style="thin">
        <color theme="4"/>
      </right>
      <top style="thin">
        <color theme="4"/>
      </top>
      <bottom/>
      <diagonal/>
    </border>
    <border>
      <left style="thin">
        <color indexed="64"/>
      </left>
      <right style="thin">
        <color theme="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DD7D8D"/>
      </left>
      <right/>
      <top style="thin">
        <color rgb="FFDD7D8D"/>
      </top>
      <bottom/>
      <diagonal/>
    </border>
    <border>
      <left/>
      <right style="thin">
        <color rgb="FFDD7D8D"/>
      </right>
      <top style="thin">
        <color rgb="FFDD7D8D"/>
      </top>
      <bottom/>
      <diagonal/>
    </border>
    <border>
      <left style="thin">
        <color rgb="FFDD7D8D"/>
      </left>
      <right/>
      <top/>
      <bottom/>
      <diagonal/>
    </border>
    <border>
      <left/>
      <right style="thin">
        <color rgb="FFDD7D8D"/>
      </right>
      <top/>
      <bottom/>
      <diagonal/>
    </border>
    <border>
      <left style="thin">
        <color rgb="FFDD7D8D"/>
      </left>
      <right/>
      <top/>
      <bottom style="thin">
        <color rgb="FFDD7D8D"/>
      </bottom>
      <diagonal/>
    </border>
    <border>
      <left/>
      <right style="thin">
        <color rgb="FFDD7D8D"/>
      </right>
      <top/>
      <bottom style="thin">
        <color rgb="FFDD7D8D"/>
      </bottom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273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2" fillId="0" borderId="0" xfId="0" applyFont="1" applyAlignment="1">
      <alignment horizontal="center"/>
    </xf>
    <xf numFmtId="2" fontId="0" fillId="0" borderId="0" xfId="0" applyNumberFormat="1" applyAlignment="1">
      <alignment horizontal="center"/>
    </xf>
    <xf numFmtId="9" fontId="0" fillId="0" borderId="0" xfId="1" applyFont="1" applyAlignment="1">
      <alignment horizontal="center"/>
    </xf>
    <xf numFmtId="164" fontId="0" fillId="0" borderId="0" xfId="1" applyNumberFormat="1" applyFont="1" applyAlignment="1">
      <alignment horizontal="center"/>
    </xf>
    <xf numFmtId="9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10" fontId="0" fillId="0" borderId="0" xfId="1" applyNumberFormat="1" applyFont="1" applyAlignment="1">
      <alignment horizontal="center"/>
    </xf>
    <xf numFmtId="166" fontId="0" fillId="0" borderId="0" xfId="0" applyNumberFormat="1" applyAlignment="1">
      <alignment horizontal="center"/>
    </xf>
    <xf numFmtId="0" fontId="0" fillId="0" borderId="3" xfId="0" applyBorder="1" applyAlignment="1">
      <alignment horizontal="center"/>
    </xf>
    <xf numFmtId="0" fontId="4" fillId="0" borderId="0" xfId="0" applyFont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2" fontId="0" fillId="0" borderId="0" xfId="1" applyNumberFormat="1" applyFont="1" applyAlignment="1">
      <alignment horizontal="center"/>
    </xf>
    <xf numFmtId="166" fontId="0" fillId="0" borderId="0" xfId="1" applyNumberFormat="1" applyFont="1" applyAlignment="1">
      <alignment horizont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wrapText="1"/>
    </xf>
    <xf numFmtId="9" fontId="0" fillId="2" borderId="0" xfId="1" applyFont="1" applyFill="1" applyAlignment="1">
      <alignment horizontal="center"/>
    </xf>
    <xf numFmtId="9" fontId="0" fillId="2" borderId="0" xfId="0" applyNumberFormat="1" applyFill="1" applyAlignment="1">
      <alignment horizontal="center"/>
    </xf>
    <xf numFmtId="0" fontId="4" fillId="0" borderId="10" xfId="0" applyFont="1" applyBorder="1" applyAlignment="1">
      <alignment horizontal="center"/>
    </xf>
    <xf numFmtId="2" fontId="6" fillId="0" borderId="0" xfId="0" applyNumberFormat="1" applyFont="1" applyAlignment="1">
      <alignment horizontal="center"/>
    </xf>
    <xf numFmtId="165" fontId="6" fillId="0" borderId="0" xfId="0" applyNumberFormat="1" applyFont="1" applyAlignment="1">
      <alignment horizontal="center"/>
    </xf>
    <xf numFmtId="0" fontId="6" fillId="0" borderId="0" xfId="0" applyFont="1" applyAlignment="1">
      <alignment horizontal="center"/>
    </xf>
    <xf numFmtId="2" fontId="6" fillId="0" borderId="10" xfId="0" applyNumberFormat="1" applyFont="1" applyBorder="1" applyAlignment="1">
      <alignment horizontal="center"/>
    </xf>
    <xf numFmtId="0" fontId="4" fillId="0" borderId="7" xfId="0" applyFont="1" applyBorder="1" applyAlignment="1">
      <alignment horizontal="center"/>
    </xf>
    <xf numFmtId="0" fontId="4" fillId="0" borderId="8" xfId="0" applyFont="1" applyBorder="1" applyAlignment="1">
      <alignment horizontal="center"/>
    </xf>
    <xf numFmtId="0" fontId="7" fillId="6" borderId="11" xfId="0" applyFont="1" applyFill="1" applyBorder="1" applyAlignment="1">
      <alignment horizontal="center"/>
    </xf>
    <xf numFmtId="2" fontId="0" fillId="0" borderId="13" xfId="0" applyNumberFormat="1" applyBorder="1" applyAlignment="1">
      <alignment horizontal="center"/>
    </xf>
    <xf numFmtId="9" fontId="0" fillId="3" borderId="11" xfId="1" applyFont="1" applyFill="1" applyBorder="1" applyAlignment="1">
      <alignment horizontal="center"/>
    </xf>
    <xf numFmtId="0" fontId="3" fillId="5" borderId="4" xfId="0" applyFont="1" applyFill="1" applyBorder="1" applyAlignment="1">
      <alignment horizontal="center"/>
    </xf>
    <xf numFmtId="9" fontId="3" fillId="5" borderId="4" xfId="1" applyFont="1" applyFill="1" applyBorder="1" applyAlignment="1">
      <alignment horizontal="center"/>
    </xf>
    <xf numFmtId="165" fontId="0" fillId="3" borderId="12" xfId="1" applyNumberFormat="1" applyFont="1" applyFill="1" applyBorder="1" applyAlignment="1">
      <alignment horizontal="center"/>
    </xf>
    <xf numFmtId="166" fontId="0" fillId="3" borderId="12" xfId="1" applyNumberFormat="1" applyFont="1" applyFill="1" applyBorder="1" applyAlignment="1">
      <alignment horizontal="center"/>
    </xf>
    <xf numFmtId="167" fontId="0" fillId="3" borderId="11" xfId="1" applyNumberFormat="1" applyFont="1" applyFill="1" applyBorder="1" applyAlignment="1">
      <alignment horizontal="center"/>
    </xf>
    <xf numFmtId="167" fontId="0" fillId="3" borderId="12" xfId="1" applyNumberFormat="1" applyFont="1" applyFill="1" applyBorder="1" applyAlignment="1">
      <alignment horizontal="center"/>
    </xf>
    <xf numFmtId="165" fontId="2" fillId="3" borderId="12" xfId="1" applyNumberFormat="1" applyFont="1" applyFill="1" applyBorder="1" applyAlignment="1">
      <alignment horizontal="center"/>
    </xf>
    <xf numFmtId="167" fontId="2" fillId="3" borderId="12" xfId="1" applyNumberFormat="1" applyFont="1" applyFill="1" applyBorder="1" applyAlignment="1">
      <alignment horizontal="center"/>
    </xf>
    <xf numFmtId="0" fontId="9" fillId="7" borderId="0" xfId="0" applyFont="1" applyFill="1" applyAlignment="1">
      <alignment horizontal="center"/>
    </xf>
    <xf numFmtId="0" fontId="8" fillId="7" borderId="0" xfId="0" applyFont="1" applyFill="1" applyAlignment="1">
      <alignment horizontal="center"/>
    </xf>
    <xf numFmtId="0" fontId="0" fillId="0" borderId="0" xfId="0" applyAlignment="1">
      <alignment horizontal="right"/>
    </xf>
    <xf numFmtId="0" fontId="4" fillId="0" borderId="0" xfId="0" applyFont="1" applyAlignment="1">
      <alignment horizontal="right"/>
    </xf>
    <xf numFmtId="2" fontId="6" fillId="0" borderId="9" xfId="0" applyNumberFormat="1" applyFont="1" applyBorder="1" applyAlignment="1">
      <alignment horizontal="right"/>
    </xf>
    <xf numFmtId="0" fontId="6" fillId="0" borderId="0" xfId="0" applyFont="1" applyAlignment="1">
      <alignment horizontal="right"/>
    </xf>
    <xf numFmtId="165" fontId="6" fillId="0" borderId="0" xfId="0" applyNumberFormat="1" applyFont="1" applyAlignment="1">
      <alignment horizontal="right"/>
    </xf>
    <xf numFmtId="0" fontId="0" fillId="0" borderId="10" xfId="0" applyBorder="1" applyAlignment="1">
      <alignment horizontal="center"/>
    </xf>
    <xf numFmtId="0" fontId="7" fillId="6" borderId="15" xfId="0" applyFont="1" applyFill="1" applyBorder="1" applyAlignment="1">
      <alignment vertical="center" wrapText="1"/>
    </xf>
    <xf numFmtId="166" fontId="5" fillId="0" borderId="0" xfId="1" applyNumberFormat="1" applyFont="1" applyAlignment="1">
      <alignment horizontal="left"/>
    </xf>
    <xf numFmtId="2" fontId="0" fillId="0" borderId="12" xfId="0" applyNumberFormat="1" applyBorder="1" applyAlignment="1">
      <alignment horizontal="center"/>
    </xf>
    <xf numFmtId="0" fontId="8" fillId="7" borderId="10" xfId="0" applyFont="1" applyFill="1" applyBorder="1" applyAlignment="1">
      <alignment horizontal="center"/>
    </xf>
    <xf numFmtId="165" fontId="2" fillId="3" borderId="16" xfId="1" applyNumberFormat="1" applyFont="1" applyFill="1" applyBorder="1" applyAlignment="1">
      <alignment horizontal="center"/>
    </xf>
    <xf numFmtId="167" fontId="2" fillId="3" borderId="16" xfId="1" applyNumberFormat="1" applyFont="1" applyFill="1" applyBorder="1" applyAlignment="1">
      <alignment horizontal="center"/>
    </xf>
    <xf numFmtId="167" fontId="0" fillId="3" borderId="14" xfId="1" applyNumberFormat="1" applyFont="1" applyFill="1" applyBorder="1" applyAlignment="1">
      <alignment horizontal="center"/>
    </xf>
    <xf numFmtId="167" fontId="2" fillId="3" borderId="17" xfId="1" applyNumberFormat="1" applyFont="1" applyFill="1" applyBorder="1" applyAlignment="1">
      <alignment horizontal="center"/>
    </xf>
    <xf numFmtId="2" fontId="6" fillId="0" borderId="0" xfId="0" applyNumberFormat="1" applyFont="1" applyAlignment="1">
      <alignment horizontal="right"/>
    </xf>
    <xf numFmtId="14" fontId="0" fillId="0" borderId="0" xfId="0" applyNumberFormat="1" applyAlignment="1">
      <alignment horizontal="center"/>
    </xf>
    <xf numFmtId="16" fontId="0" fillId="0" borderId="0" xfId="0" applyNumberFormat="1" applyAlignment="1">
      <alignment horizontal="center"/>
    </xf>
    <xf numFmtId="0" fontId="7" fillId="6" borderId="18" xfId="0" applyFont="1" applyFill="1" applyBorder="1" applyAlignment="1">
      <alignment horizontal="center" vertical="center"/>
    </xf>
    <xf numFmtId="0" fontId="0" fillId="2" borderId="0" xfId="0" applyFill="1" applyAlignment="1">
      <alignment horizontal="center"/>
    </xf>
    <xf numFmtId="14" fontId="0" fillId="2" borderId="0" xfId="0" applyNumberFormat="1" applyFill="1" applyAlignment="1">
      <alignment horizontal="center"/>
    </xf>
    <xf numFmtId="168" fontId="11" fillId="3" borderId="0" xfId="0" applyNumberFormat="1" applyFont="1" applyFill="1" applyAlignment="1">
      <alignment horizontal="center"/>
    </xf>
    <xf numFmtId="9" fontId="0" fillId="0" borderId="20" xfId="1" applyFont="1" applyBorder="1" applyAlignment="1">
      <alignment horizontal="center"/>
    </xf>
    <xf numFmtId="2" fontId="0" fillId="0" borderId="20" xfId="0" applyNumberFormat="1" applyBorder="1" applyAlignment="1">
      <alignment horizontal="center"/>
    </xf>
    <xf numFmtId="165" fontId="6" fillId="0" borderId="20" xfId="0" applyNumberFormat="1" applyFont="1" applyBorder="1" applyAlignment="1">
      <alignment horizontal="center"/>
    </xf>
    <xf numFmtId="2" fontId="0" fillId="0" borderId="21" xfId="0" applyNumberFormat="1" applyBorder="1" applyAlignment="1">
      <alignment horizontal="center"/>
    </xf>
    <xf numFmtId="0" fontId="12" fillId="0" borderId="0" xfId="0" applyFont="1" applyAlignment="1">
      <alignment horizontal="left"/>
    </xf>
    <xf numFmtId="0" fontId="13" fillId="0" borderId="0" xfId="0" applyFont="1" applyAlignment="1">
      <alignment horizontal="center"/>
    </xf>
    <xf numFmtId="166" fontId="0" fillId="0" borderId="20" xfId="2" applyNumberFormat="1" applyFont="1" applyBorder="1" applyAlignment="1">
      <alignment horizontal="center"/>
    </xf>
    <xf numFmtId="166" fontId="14" fillId="0" borderId="20" xfId="2" applyNumberFormat="1" applyFont="1" applyBorder="1" applyAlignment="1">
      <alignment horizontal="center"/>
    </xf>
    <xf numFmtId="9" fontId="14" fillId="2" borderId="19" xfId="1" applyFont="1" applyFill="1" applyBorder="1" applyAlignment="1">
      <alignment horizontal="center"/>
    </xf>
    <xf numFmtId="0" fontId="15" fillId="0" borderId="0" xfId="0" applyFont="1" applyAlignment="1">
      <alignment horizontal="left"/>
    </xf>
    <xf numFmtId="0" fontId="16" fillId="0" borderId="0" xfId="0" applyFont="1" applyAlignment="1">
      <alignment horizontal="center"/>
    </xf>
    <xf numFmtId="9" fontId="0" fillId="3" borderId="20" xfId="1" applyFont="1" applyFill="1" applyBorder="1" applyAlignment="1">
      <alignment horizontal="center"/>
    </xf>
    <xf numFmtId="10" fontId="0" fillId="0" borderId="0" xfId="0" applyNumberFormat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9" fontId="0" fillId="0" borderId="0" xfId="0" applyNumberFormat="1" applyAlignment="1">
      <alignment horizontal="center" vertical="center"/>
    </xf>
    <xf numFmtId="3" fontId="0" fillId="0" borderId="0" xfId="0" applyNumberFormat="1" applyAlignment="1">
      <alignment horizontal="center" vertical="center"/>
    </xf>
    <xf numFmtId="14" fontId="0" fillId="0" borderId="7" xfId="0" applyNumberFormat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2" fontId="0" fillId="0" borderId="7" xfId="0" applyNumberFormat="1" applyBorder="1" applyAlignment="1">
      <alignment horizontal="center" vertical="center"/>
    </xf>
    <xf numFmtId="9" fontId="0" fillId="0" borderId="7" xfId="0" applyNumberFormat="1" applyBorder="1" applyAlignment="1">
      <alignment horizontal="center" vertical="center"/>
    </xf>
    <xf numFmtId="3" fontId="0" fillId="0" borderId="7" xfId="0" applyNumberFormat="1" applyBorder="1" applyAlignment="1">
      <alignment horizontal="center" vertical="center"/>
    </xf>
    <xf numFmtId="14" fontId="0" fillId="0" borderId="20" xfId="0" applyNumberFormat="1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2" fontId="0" fillId="0" borderId="20" xfId="0" applyNumberFormat="1" applyBorder="1" applyAlignment="1">
      <alignment horizontal="center" vertical="center"/>
    </xf>
    <xf numFmtId="9" fontId="0" fillId="0" borderId="20" xfId="0" applyNumberFormat="1" applyBorder="1" applyAlignment="1">
      <alignment horizontal="center" vertical="center"/>
    </xf>
    <xf numFmtId="3" fontId="0" fillId="0" borderId="20" xfId="0" applyNumberForma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14" fontId="17" fillId="2" borderId="0" xfId="0" applyNumberFormat="1" applyFont="1" applyFill="1" applyAlignment="1">
      <alignment horizontal="center" vertical="center"/>
    </xf>
    <xf numFmtId="1" fontId="17" fillId="2" borderId="0" xfId="0" applyNumberFormat="1" applyFont="1" applyFill="1" applyAlignment="1">
      <alignment horizontal="center" vertical="center"/>
    </xf>
    <xf numFmtId="10" fontId="17" fillId="2" borderId="0" xfId="1" applyNumberFormat="1" applyFont="1" applyFill="1" applyAlignment="1">
      <alignment horizontal="center" vertical="center"/>
    </xf>
    <xf numFmtId="9" fontId="17" fillId="0" borderId="0" xfId="1" applyFont="1" applyAlignment="1">
      <alignment horizontal="center" vertical="center"/>
    </xf>
    <xf numFmtId="9" fontId="17" fillId="0" borderId="20" xfId="1" applyFont="1" applyBorder="1" applyAlignment="1">
      <alignment horizontal="center" vertical="center"/>
    </xf>
    <xf numFmtId="9" fontId="17" fillId="0" borderId="7" xfId="1" applyFont="1" applyBorder="1" applyAlignment="1">
      <alignment horizontal="center" vertical="center"/>
    </xf>
    <xf numFmtId="9" fontId="17" fillId="0" borderId="0" xfId="1" applyFont="1" applyBorder="1" applyAlignment="1">
      <alignment horizontal="center" vertical="center"/>
    </xf>
    <xf numFmtId="0" fontId="2" fillId="0" borderId="1" xfId="0" applyFont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2" fillId="0" borderId="0" xfId="0" applyFont="1" applyAlignment="1">
      <alignment horizontal="center"/>
    </xf>
    <xf numFmtId="0" fontId="10" fillId="2" borderId="0" xfId="0" applyFont="1" applyFill="1" applyAlignment="1">
      <alignment horizontal="center"/>
    </xf>
    <xf numFmtId="0" fontId="2" fillId="4" borderId="7" xfId="0" applyFont="1" applyFill="1" applyBorder="1" applyAlignment="1">
      <alignment horizontal="center"/>
    </xf>
    <xf numFmtId="0" fontId="2" fillId="4" borderId="8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18" fillId="0" borderId="0" xfId="0" applyFont="1" applyAlignment="1">
      <alignment horizontal="center" vertical="center"/>
    </xf>
    <xf numFmtId="0" fontId="18" fillId="0" borderId="0" xfId="0" applyFont="1" applyAlignment="1">
      <alignment horizontal="left" vertical="center"/>
    </xf>
    <xf numFmtId="0" fontId="19" fillId="0" borderId="0" xfId="0" applyFont="1" applyAlignment="1">
      <alignment horizontal="left" vertical="center"/>
    </xf>
    <xf numFmtId="0" fontId="26" fillId="8" borderId="3" xfId="0" applyFont="1" applyFill="1" applyBorder="1" applyAlignment="1">
      <alignment horizontal="left" vertical="center"/>
    </xf>
    <xf numFmtId="0" fontId="21" fillId="9" borderId="4" xfId="0" applyFont="1" applyFill="1" applyBorder="1" applyAlignment="1">
      <alignment horizontal="left" vertical="center"/>
    </xf>
    <xf numFmtId="0" fontId="27" fillId="10" borderId="3" xfId="0" applyFont="1" applyFill="1" applyBorder="1" applyAlignment="1">
      <alignment horizontal="left" vertical="center"/>
    </xf>
    <xf numFmtId="0" fontId="28" fillId="11" borderId="4" xfId="0" applyFont="1" applyFill="1" applyBorder="1" applyAlignment="1">
      <alignment horizontal="left" vertical="center"/>
    </xf>
    <xf numFmtId="0" fontId="22" fillId="23" borderId="0" xfId="0" applyFont="1" applyFill="1" applyAlignment="1">
      <alignment horizontal="center" vertical="center"/>
    </xf>
    <xf numFmtId="0" fontId="29" fillId="23" borderId="0" xfId="0" applyFont="1" applyFill="1" applyAlignment="1">
      <alignment horizontal="center" vertical="center"/>
    </xf>
    <xf numFmtId="0" fontId="30" fillId="12" borderId="5" xfId="0" applyFont="1" applyFill="1" applyBorder="1" applyAlignment="1">
      <alignment horizontal="left" vertical="center"/>
    </xf>
    <xf numFmtId="0" fontId="31" fillId="13" borderId="6" xfId="0" applyFont="1" applyFill="1" applyBorder="1" applyAlignment="1">
      <alignment horizontal="left" vertical="center"/>
    </xf>
    <xf numFmtId="14" fontId="32" fillId="25" borderId="0" xfId="0" applyNumberFormat="1" applyFont="1" applyFill="1" applyAlignment="1">
      <alignment horizontal="center" vertical="center"/>
    </xf>
    <xf numFmtId="0" fontId="32" fillId="25" borderId="0" xfId="0" applyFont="1" applyFill="1" applyAlignment="1">
      <alignment horizontal="center" vertical="center"/>
    </xf>
    <xf numFmtId="2" fontId="32" fillId="25" borderId="0" xfId="0" applyNumberFormat="1" applyFont="1" applyFill="1" applyAlignment="1">
      <alignment horizontal="center" vertical="center"/>
    </xf>
    <xf numFmtId="9" fontId="32" fillId="25" borderId="0" xfId="0" applyNumberFormat="1" applyFont="1" applyFill="1" applyAlignment="1">
      <alignment horizontal="center" vertical="center"/>
    </xf>
    <xf numFmtId="3" fontId="32" fillId="25" borderId="0" xfId="0" applyNumberFormat="1" applyFont="1" applyFill="1" applyAlignment="1">
      <alignment horizontal="center" vertical="center"/>
    </xf>
    <xf numFmtId="9" fontId="20" fillId="25" borderId="0" xfId="1" applyFont="1" applyFill="1" applyAlignment="1">
      <alignment horizontal="center" vertical="center"/>
    </xf>
    <xf numFmtId="2" fontId="18" fillId="0" borderId="0" xfId="0" applyNumberFormat="1" applyFont="1" applyAlignment="1">
      <alignment horizontal="left" vertical="center"/>
    </xf>
    <xf numFmtId="9" fontId="20" fillId="0" borderId="0" xfId="1" applyFont="1" applyAlignment="1">
      <alignment horizontal="left" vertical="center"/>
    </xf>
    <xf numFmtId="14" fontId="32" fillId="25" borderId="20" xfId="0" applyNumberFormat="1" applyFont="1" applyFill="1" applyBorder="1" applyAlignment="1">
      <alignment horizontal="center" vertical="center"/>
    </xf>
    <xf numFmtId="0" fontId="32" fillId="25" borderId="20" xfId="0" applyFont="1" applyFill="1" applyBorder="1" applyAlignment="1">
      <alignment horizontal="center" vertical="center"/>
    </xf>
    <xf numFmtId="2" fontId="32" fillId="25" borderId="20" xfId="0" applyNumberFormat="1" applyFont="1" applyFill="1" applyBorder="1" applyAlignment="1">
      <alignment horizontal="center" vertical="center"/>
    </xf>
    <xf numFmtId="9" fontId="32" fillId="25" borderId="20" xfId="0" applyNumberFormat="1" applyFont="1" applyFill="1" applyBorder="1" applyAlignment="1">
      <alignment horizontal="center" vertical="center"/>
    </xf>
    <xf numFmtId="3" fontId="32" fillId="25" borderId="20" xfId="0" applyNumberFormat="1" applyFont="1" applyFill="1" applyBorder="1" applyAlignment="1">
      <alignment horizontal="center" vertical="center"/>
    </xf>
    <xf numFmtId="9" fontId="20" fillId="25" borderId="20" xfId="1" applyFont="1" applyFill="1" applyBorder="1" applyAlignment="1">
      <alignment horizontal="center" vertical="center"/>
    </xf>
    <xf numFmtId="0" fontId="18" fillId="0" borderId="20" xfId="0" applyFont="1" applyBorder="1" applyAlignment="1">
      <alignment horizontal="left" vertical="center"/>
    </xf>
    <xf numFmtId="0" fontId="18" fillId="15" borderId="3" xfId="0" applyFont="1" applyFill="1" applyBorder="1" applyAlignment="1">
      <alignment horizontal="left" vertical="center"/>
    </xf>
    <xf numFmtId="0" fontId="32" fillId="16" borderId="4" xfId="0" applyFont="1" applyFill="1" applyBorder="1" applyAlignment="1">
      <alignment horizontal="left" vertical="center"/>
    </xf>
    <xf numFmtId="14" fontId="32" fillId="25" borderId="7" xfId="0" applyNumberFormat="1" applyFont="1" applyFill="1" applyBorder="1" applyAlignment="1">
      <alignment horizontal="center" vertical="center"/>
    </xf>
    <xf numFmtId="0" fontId="32" fillId="25" borderId="7" xfId="0" applyFont="1" applyFill="1" applyBorder="1" applyAlignment="1">
      <alignment horizontal="center" vertical="center"/>
    </xf>
    <xf numFmtId="2" fontId="32" fillId="25" borderId="7" xfId="0" applyNumberFormat="1" applyFont="1" applyFill="1" applyBorder="1" applyAlignment="1">
      <alignment horizontal="center" vertical="center"/>
    </xf>
    <xf numFmtId="9" fontId="32" fillId="25" borderId="7" xfId="0" applyNumberFormat="1" applyFont="1" applyFill="1" applyBorder="1" applyAlignment="1">
      <alignment horizontal="center" vertical="center"/>
    </xf>
    <xf numFmtId="3" fontId="32" fillId="25" borderId="7" xfId="0" applyNumberFormat="1" applyFont="1" applyFill="1" applyBorder="1" applyAlignment="1">
      <alignment horizontal="center" vertical="center"/>
    </xf>
    <xf numFmtId="9" fontId="20" fillId="25" borderId="7" xfId="1" applyFont="1" applyFill="1" applyBorder="1" applyAlignment="1">
      <alignment horizontal="center" vertical="center"/>
    </xf>
    <xf numFmtId="0" fontId="33" fillId="17" borderId="3" xfId="0" applyFont="1" applyFill="1" applyBorder="1" applyAlignment="1">
      <alignment horizontal="left" vertical="center"/>
    </xf>
    <xf numFmtId="0" fontId="24" fillId="18" borderId="4" xfId="0" applyFont="1" applyFill="1" applyBorder="1" applyAlignment="1">
      <alignment horizontal="left" vertical="center"/>
    </xf>
    <xf numFmtId="0" fontId="18" fillId="0" borderId="7" xfId="0" applyFont="1" applyBorder="1" applyAlignment="1">
      <alignment horizontal="left" vertical="center"/>
    </xf>
    <xf numFmtId="0" fontId="34" fillId="19" borderId="5" xfId="0" applyFont="1" applyFill="1" applyBorder="1" applyAlignment="1">
      <alignment horizontal="left" vertical="center"/>
    </xf>
    <xf numFmtId="0" fontId="35" fillId="20" borderId="6" xfId="0" applyFont="1" applyFill="1" applyBorder="1" applyAlignment="1">
      <alignment horizontal="left" vertical="center"/>
    </xf>
    <xf numFmtId="0" fontId="36" fillId="21" borderId="0" xfId="0" applyFont="1" applyFill="1" applyAlignment="1">
      <alignment horizontal="left" vertical="center" wrapText="1"/>
    </xf>
    <xf numFmtId="0" fontId="37" fillId="24" borderId="0" xfId="0" applyFont="1" applyFill="1" applyAlignment="1">
      <alignment horizontal="left" vertical="center" wrapText="1"/>
    </xf>
    <xf numFmtId="0" fontId="38" fillId="23" borderId="0" xfId="0" applyFont="1" applyFill="1" applyAlignment="1">
      <alignment horizontal="center" vertical="center"/>
    </xf>
    <xf numFmtId="0" fontId="39" fillId="22" borderId="0" xfId="0" applyFont="1" applyFill="1" applyAlignment="1">
      <alignment horizontal="center" vertical="center"/>
    </xf>
    <xf numFmtId="0" fontId="38" fillId="22" borderId="0" xfId="0" applyFont="1" applyFill="1" applyAlignment="1">
      <alignment horizontal="center" vertical="center"/>
    </xf>
    <xf numFmtId="0" fontId="22" fillId="22" borderId="0" xfId="0" applyFont="1" applyFill="1" applyAlignment="1">
      <alignment horizontal="center" vertical="center"/>
    </xf>
    <xf numFmtId="0" fontId="40" fillId="22" borderId="0" xfId="0" applyFont="1" applyFill="1" applyAlignment="1">
      <alignment horizontal="center" vertical="center"/>
    </xf>
    <xf numFmtId="0" fontId="41" fillId="23" borderId="0" xfId="0" applyFont="1" applyFill="1" applyAlignment="1">
      <alignment horizontal="center" vertical="center"/>
    </xf>
    <xf numFmtId="14" fontId="42" fillId="26" borderId="0" xfId="0" applyNumberFormat="1" applyFont="1" applyFill="1" applyAlignment="1">
      <alignment horizontal="center" vertical="center"/>
    </xf>
    <xf numFmtId="0" fontId="42" fillId="26" borderId="0" xfId="0" applyFont="1" applyFill="1" applyAlignment="1">
      <alignment horizontal="center" vertical="center"/>
    </xf>
    <xf numFmtId="2" fontId="42" fillId="26" borderId="0" xfId="0" applyNumberFormat="1" applyFont="1" applyFill="1" applyAlignment="1">
      <alignment horizontal="center" vertical="center"/>
    </xf>
    <xf numFmtId="9" fontId="42" fillId="26" borderId="0" xfId="0" applyNumberFormat="1" applyFont="1" applyFill="1" applyAlignment="1">
      <alignment horizontal="center" vertical="center"/>
    </xf>
    <xf numFmtId="3" fontId="42" fillId="26" borderId="0" xfId="0" applyNumberFormat="1" applyFont="1" applyFill="1" applyAlignment="1">
      <alignment horizontal="center" vertical="center"/>
    </xf>
    <xf numFmtId="14" fontId="42" fillId="26" borderId="20" xfId="0" applyNumberFormat="1" applyFont="1" applyFill="1" applyBorder="1" applyAlignment="1">
      <alignment horizontal="center" vertical="center"/>
    </xf>
    <xf numFmtId="0" fontId="42" fillId="26" borderId="20" xfId="0" applyFont="1" applyFill="1" applyBorder="1" applyAlignment="1">
      <alignment horizontal="center" vertical="center"/>
    </xf>
    <xf numFmtId="2" fontId="42" fillId="26" borderId="20" xfId="0" applyNumberFormat="1" applyFont="1" applyFill="1" applyBorder="1" applyAlignment="1">
      <alignment horizontal="center" vertical="center"/>
    </xf>
    <xf numFmtId="9" fontId="42" fillId="26" borderId="20" xfId="0" applyNumberFormat="1" applyFont="1" applyFill="1" applyBorder="1" applyAlignment="1">
      <alignment horizontal="center" vertical="center"/>
    </xf>
    <xf numFmtId="3" fontId="42" fillId="26" borderId="20" xfId="0" applyNumberFormat="1" applyFont="1" applyFill="1" applyBorder="1" applyAlignment="1">
      <alignment horizontal="center" vertical="center"/>
    </xf>
    <xf numFmtId="14" fontId="42" fillId="26" borderId="7" xfId="0" applyNumberFormat="1" applyFont="1" applyFill="1" applyBorder="1" applyAlignment="1">
      <alignment horizontal="center" vertical="center"/>
    </xf>
    <xf numFmtId="0" fontId="42" fillId="26" borderId="7" xfId="0" applyFont="1" applyFill="1" applyBorder="1" applyAlignment="1">
      <alignment horizontal="center" vertical="center"/>
    </xf>
    <xf numFmtId="2" fontId="42" fillId="26" borderId="7" xfId="0" applyNumberFormat="1" applyFont="1" applyFill="1" applyBorder="1" applyAlignment="1">
      <alignment horizontal="center" vertical="center"/>
    </xf>
    <xf numFmtId="9" fontId="42" fillId="26" borderId="7" xfId="0" applyNumberFormat="1" applyFont="1" applyFill="1" applyBorder="1" applyAlignment="1">
      <alignment horizontal="center" vertical="center"/>
    </xf>
    <xf numFmtId="3" fontId="42" fillId="26" borderId="7" xfId="0" applyNumberFormat="1" applyFont="1" applyFill="1" applyBorder="1" applyAlignment="1">
      <alignment horizontal="center" vertical="center"/>
    </xf>
    <xf numFmtId="9" fontId="20" fillId="26" borderId="0" xfId="1" applyFont="1" applyFill="1" applyAlignment="1">
      <alignment horizontal="center" vertical="center"/>
    </xf>
    <xf numFmtId="9" fontId="20" fillId="26" borderId="20" xfId="1" applyFont="1" applyFill="1" applyBorder="1" applyAlignment="1">
      <alignment horizontal="center" vertical="center"/>
    </xf>
    <xf numFmtId="9" fontId="20" fillId="26" borderId="7" xfId="1" applyFont="1" applyFill="1" applyBorder="1" applyAlignment="1">
      <alignment horizontal="center" vertical="center"/>
    </xf>
    <xf numFmtId="0" fontId="38" fillId="14" borderId="0" xfId="0" applyFont="1" applyFill="1" applyAlignment="1">
      <alignment horizontal="center" vertical="center"/>
    </xf>
    <xf numFmtId="14" fontId="43" fillId="27" borderId="0" xfId="0" applyNumberFormat="1" applyFont="1" applyFill="1" applyAlignment="1">
      <alignment horizontal="center" vertical="center"/>
    </xf>
    <xf numFmtId="0" fontId="43" fillId="27" borderId="0" xfId="0" applyFont="1" applyFill="1" applyAlignment="1">
      <alignment horizontal="center" vertical="center"/>
    </xf>
    <xf numFmtId="2" fontId="43" fillId="27" borderId="0" xfId="0" applyNumberFormat="1" applyFont="1" applyFill="1" applyAlignment="1">
      <alignment horizontal="center" vertical="center"/>
    </xf>
    <xf numFmtId="9" fontId="43" fillId="27" borderId="0" xfId="0" applyNumberFormat="1" applyFont="1" applyFill="1" applyAlignment="1">
      <alignment horizontal="center" vertical="center"/>
    </xf>
    <xf numFmtId="3" fontId="43" fillId="27" borderId="0" xfId="0" applyNumberFormat="1" applyFont="1" applyFill="1" applyAlignment="1">
      <alignment horizontal="center" vertical="center"/>
    </xf>
    <xf numFmtId="9" fontId="43" fillId="27" borderId="0" xfId="1" applyFont="1" applyFill="1" applyAlignment="1">
      <alignment horizontal="center" vertical="center"/>
    </xf>
    <xf numFmtId="14" fontId="43" fillId="27" borderId="20" xfId="0" applyNumberFormat="1" applyFont="1" applyFill="1" applyBorder="1" applyAlignment="1">
      <alignment horizontal="center" vertical="center"/>
    </xf>
    <xf numFmtId="0" fontId="43" fillId="27" borderId="20" xfId="0" applyFont="1" applyFill="1" applyBorder="1" applyAlignment="1">
      <alignment horizontal="center" vertical="center"/>
    </xf>
    <xf numFmtId="2" fontId="43" fillId="27" borderId="20" xfId="0" applyNumberFormat="1" applyFont="1" applyFill="1" applyBorder="1" applyAlignment="1">
      <alignment horizontal="center" vertical="center"/>
    </xf>
    <xf numFmtId="9" fontId="43" fillId="27" borderId="20" xfId="0" applyNumberFormat="1" applyFont="1" applyFill="1" applyBorder="1" applyAlignment="1">
      <alignment horizontal="center" vertical="center"/>
    </xf>
    <xf numFmtId="3" fontId="43" fillId="27" borderId="20" xfId="0" applyNumberFormat="1" applyFont="1" applyFill="1" applyBorder="1" applyAlignment="1">
      <alignment horizontal="center" vertical="center"/>
    </xf>
    <xf numFmtId="9" fontId="43" fillId="27" borderId="20" xfId="1" applyFont="1" applyFill="1" applyBorder="1" applyAlignment="1">
      <alignment horizontal="center" vertical="center"/>
    </xf>
    <xf numFmtId="14" fontId="43" fillId="27" borderId="7" xfId="0" applyNumberFormat="1" applyFont="1" applyFill="1" applyBorder="1" applyAlignment="1">
      <alignment horizontal="center" vertical="center"/>
    </xf>
    <xf numFmtId="0" fontId="43" fillId="27" borderId="7" xfId="0" applyFont="1" applyFill="1" applyBorder="1" applyAlignment="1">
      <alignment horizontal="center" vertical="center"/>
    </xf>
    <xf numFmtId="2" fontId="43" fillId="27" borderId="7" xfId="0" applyNumberFormat="1" applyFont="1" applyFill="1" applyBorder="1" applyAlignment="1">
      <alignment horizontal="center" vertical="center"/>
    </xf>
    <xf numFmtId="9" fontId="43" fillId="27" borderId="7" xfId="0" applyNumberFormat="1" applyFont="1" applyFill="1" applyBorder="1" applyAlignment="1">
      <alignment horizontal="center" vertical="center"/>
    </xf>
    <xf numFmtId="3" fontId="43" fillId="27" borderId="7" xfId="0" applyNumberFormat="1" applyFont="1" applyFill="1" applyBorder="1" applyAlignment="1">
      <alignment horizontal="center" vertical="center"/>
    </xf>
    <xf numFmtId="9" fontId="43" fillId="27" borderId="7" xfId="1" applyFont="1" applyFill="1" applyBorder="1" applyAlignment="1">
      <alignment horizontal="center" vertical="center"/>
    </xf>
    <xf numFmtId="0" fontId="25" fillId="14" borderId="1" xfId="0" applyFont="1" applyFill="1" applyBorder="1" applyAlignment="1">
      <alignment horizontal="left" vertical="center"/>
    </xf>
    <xf numFmtId="0" fontId="25" fillId="14" borderId="2" xfId="0" applyFont="1" applyFill="1" applyBorder="1" applyAlignment="1">
      <alignment horizontal="left" vertical="center"/>
    </xf>
    <xf numFmtId="0" fontId="18" fillId="0" borderId="1" xfId="0" applyFont="1" applyBorder="1" applyAlignment="1">
      <alignment horizontal="left" vertical="center"/>
    </xf>
    <xf numFmtId="0" fontId="18" fillId="0" borderId="2" xfId="0" applyFont="1" applyBorder="1" applyAlignment="1">
      <alignment horizontal="left" vertical="center"/>
    </xf>
    <xf numFmtId="14" fontId="42" fillId="28" borderId="0" xfId="0" applyNumberFormat="1" applyFont="1" applyFill="1" applyAlignment="1">
      <alignment horizontal="center" vertical="center"/>
    </xf>
    <xf numFmtId="0" fontId="42" fillId="28" borderId="0" xfId="0" applyFont="1" applyFill="1" applyAlignment="1">
      <alignment horizontal="center" vertical="center"/>
    </xf>
    <xf numFmtId="2" fontId="42" fillId="28" borderId="0" xfId="0" applyNumberFormat="1" applyFont="1" applyFill="1" applyAlignment="1">
      <alignment horizontal="center" vertical="center"/>
    </xf>
    <xf numFmtId="9" fontId="42" fillId="28" borderId="0" xfId="0" applyNumberFormat="1" applyFont="1" applyFill="1" applyAlignment="1">
      <alignment horizontal="center" vertical="center"/>
    </xf>
    <xf numFmtId="3" fontId="42" fillId="28" borderId="0" xfId="0" applyNumberFormat="1" applyFont="1" applyFill="1" applyAlignment="1">
      <alignment horizontal="center" vertical="center"/>
    </xf>
    <xf numFmtId="9" fontId="20" fillId="28" borderId="0" xfId="1" applyFont="1" applyFill="1" applyAlignment="1">
      <alignment horizontal="center" vertical="center"/>
    </xf>
    <xf numFmtId="14" fontId="42" fillId="28" borderId="20" xfId="0" applyNumberFormat="1" applyFont="1" applyFill="1" applyBorder="1" applyAlignment="1">
      <alignment horizontal="center" vertical="center"/>
    </xf>
    <xf numFmtId="0" fontId="42" fillId="28" borderId="20" xfId="0" applyFont="1" applyFill="1" applyBorder="1" applyAlignment="1">
      <alignment horizontal="center" vertical="center"/>
    </xf>
    <xf numFmtId="2" fontId="42" fillId="28" borderId="20" xfId="0" applyNumberFormat="1" applyFont="1" applyFill="1" applyBorder="1" applyAlignment="1">
      <alignment horizontal="center" vertical="center"/>
    </xf>
    <xf numFmtId="9" fontId="42" fillId="28" borderId="20" xfId="0" applyNumberFormat="1" applyFont="1" applyFill="1" applyBorder="1" applyAlignment="1">
      <alignment horizontal="center" vertical="center"/>
    </xf>
    <xf numFmtId="3" fontId="42" fillId="28" borderId="20" xfId="0" applyNumberFormat="1" applyFont="1" applyFill="1" applyBorder="1" applyAlignment="1">
      <alignment horizontal="center" vertical="center"/>
    </xf>
    <xf numFmtId="9" fontId="20" fillId="28" borderId="20" xfId="1" applyFont="1" applyFill="1" applyBorder="1" applyAlignment="1">
      <alignment horizontal="center" vertical="center"/>
    </xf>
    <xf numFmtId="14" fontId="42" fillId="28" borderId="7" xfId="0" applyNumberFormat="1" applyFont="1" applyFill="1" applyBorder="1" applyAlignment="1">
      <alignment horizontal="center" vertical="center"/>
    </xf>
    <xf numFmtId="0" fontId="42" fillId="28" borderId="7" xfId="0" applyFont="1" applyFill="1" applyBorder="1" applyAlignment="1">
      <alignment horizontal="center" vertical="center"/>
    </xf>
    <xf numFmtId="2" fontId="42" fillId="28" borderId="7" xfId="0" applyNumberFormat="1" applyFont="1" applyFill="1" applyBorder="1" applyAlignment="1">
      <alignment horizontal="center" vertical="center"/>
    </xf>
    <xf numFmtId="9" fontId="42" fillId="28" borderId="7" xfId="0" applyNumberFormat="1" applyFont="1" applyFill="1" applyBorder="1" applyAlignment="1">
      <alignment horizontal="center" vertical="center"/>
    </xf>
    <xf numFmtId="3" fontId="42" fillId="28" borderId="7" xfId="0" applyNumberFormat="1" applyFont="1" applyFill="1" applyBorder="1" applyAlignment="1">
      <alignment horizontal="center" vertical="center"/>
    </xf>
    <xf numFmtId="9" fontId="20" fillId="28" borderId="7" xfId="1" applyFont="1" applyFill="1" applyBorder="1" applyAlignment="1">
      <alignment horizontal="center" vertical="center"/>
    </xf>
    <xf numFmtId="0" fontId="18" fillId="29" borderId="0" xfId="0" applyFont="1" applyFill="1" applyAlignment="1">
      <alignment horizontal="left" vertical="center"/>
    </xf>
    <xf numFmtId="0" fontId="44" fillId="23" borderId="0" xfId="0" applyFont="1" applyFill="1" applyAlignment="1">
      <alignment horizontal="center" vertical="center"/>
    </xf>
    <xf numFmtId="14" fontId="24" fillId="30" borderId="0" xfId="0" applyNumberFormat="1" applyFont="1" applyFill="1" applyAlignment="1">
      <alignment horizontal="center" vertical="center"/>
    </xf>
    <xf numFmtId="0" fontId="24" fillId="30" borderId="0" xfId="0" applyFont="1" applyFill="1" applyAlignment="1">
      <alignment horizontal="center" vertical="center"/>
    </xf>
    <xf numFmtId="2" fontId="24" fillId="30" borderId="0" xfId="0" applyNumberFormat="1" applyFont="1" applyFill="1" applyAlignment="1">
      <alignment horizontal="center" vertical="center"/>
    </xf>
    <xf numFmtId="9" fontId="24" fillId="30" borderId="0" xfId="0" applyNumberFormat="1" applyFont="1" applyFill="1" applyAlignment="1">
      <alignment horizontal="center" vertical="center"/>
    </xf>
    <xf numFmtId="3" fontId="24" fillId="30" borderId="0" xfId="0" applyNumberFormat="1" applyFont="1" applyFill="1" applyAlignment="1">
      <alignment horizontal="center" vertical="center"/>
    </xf>
    <xf numFmtId="9" fontId="20" fillId="30" borderId="0" xfId="1" applyFont="1" applyFill="1" applyAlignment="1">
      <alignment horizontal="center" vertical="center"/>
    </xf>
    <xf numFmtId="14" fontId="24" fillId="30" borderId="20" xfId="0" applyNumberFormat="1" applyFont="1" applyFill="1" applyBorder="1" applyAlignment="1">
      <alignment horizontal="center" vertical="center"/>
    </xf>
    <xf numFmtId="0" fontId="24" fillId="30" borderId="20" xfId="0" applyFont="1" applyFill="1" applyBorder="1" applyAlignment="1">
      <alignment horizontal="center" vertical="center"/>
    </xf>
    <xf numFmtId="2" fontId="24" fillId="30" borderId="20" xfId="0" applyNumberFormat="1" applyFont="1" applyFill="1" applyBorder="1" applyAlignment="1">
      <alignment horizontal="center" vertical="center"/>
    </xf>
    <xf numFmtId="9" fontId="24" fillId="30" borderId="20" xfId="0" applyNumberFormat="1" applyFont="1" applyFill="1" applyBorder="1" applyAlignment="1">
      <alignment horizontal="center" vertical="center"/>
    </xf>
    <xf numFmtId="3" fontId="24" fillId="30" borderId="20" xfId="0" applyNumberFormat="1" applyFont="1" applyFill="1" applyBorder="1" applyAlignment="1">
      <alignment horizontal="center" vertical="center"/>
    </xf>
    <xf numFmtId="9" fontId="20" fillId="30" borderId="20" xfId="1" applyFont="1" applyFill="1" applyBorder="1" applyAlignment="1">
      <alignment horizontal="center" vertical="center"/>
    </xf>
    <xf numFmtId="14" fontId="24" fillId="30" borderId="7" xfId="0" applyNumberFormat="1" applyFont="1" applyFill="1" applyBorder="1" applyAlignment="1">
      <alignment horizontal="center" vertical="center"/>
    </xf>
    <xf numFmtId="0" fontId="24" fillId="30" borderId="7" xfId="0" applyFont="1" applyFill="1" applyBorder="1" applyAlignment="1">
      <alignment horizontal="center" vertical="center"/>
    </xf>
    <xf numFmtId="2" fontId="24" fillId="30" borderId="7" xfId="0" applyNumberFormat="1" applyFont="1" applyFill="1" applyBorder="1" applyAlignment="1">
      <alignment horizontal="center" vertical="center"/>
    </xf>
    <xf numFmtId="9" fontId="24" fillId="30" borderId="7" xfId="0" applyNumberFormat="1" applyFont="1" applyFill="1" applyBorder="1" applyAlignment="1">
      <alignment horizontal="center" vertical="center"/>
    </xf>
    <xf numFmtId="3" fontId="24" fillId="30" borderId="7" xfId="0" applyNumberFormat="1" applyFont="1" applyFill="1" applyBorder="1" applyAlignment="1">
      <alignment horizontal="center" vertical="center"/>
    </xf>
    <xf numFmtId="9" fontId="20" fillId="30" borderId="7" xfId="1" applyFont="1" applyFill="1" applyBorder="1" applyAlignment="1">
      <alignment horizontal="center" vertical="center"/>
    </xf>
    <xf numFmtId="14" fontId="24" fillId="31" borderId="0" xfId="0" applyNumberFormat="1" applyFont="1" applyFill="1" applyAlignment="1">
      <alignment horizontal="center" vertical="center"/>
    </xf>
    <xf numFmtId="0" fontId="24" fillId="31" borderId="0" xfId="0" applyFont="1" applyFill="1" applyAlignment="1">
      <alignment horizontal="center" vertical="center"/>
    </xf>
    <xf numFmtId="2" fontId="24" fillId="31" borderId="0" xfId="0" applyNumberFormat="1" applyFont="1" applyFill="1" applyAlignment="1">
      <alignment horizontal="center" vertical="center"/>
    </xf>
    <xf numFmtId="9" fontId="24" fillId="31" borderId="0" xfId="0" applyNumberFormat="1" applyFont="1" applyFill="1" applyAlignment="1">
      <alignment horizontal="center" vertical="center"/>
    </xf>
    <xf numFmtId="3" fontId="24" fillId="31" borderId="0" xfId="0" applyNumberFormat="1" applyFont="1" applyFill="1" applyAlignment="1">
      <alignment horizontal="center" vertical="center"/>
    </xf>
    <xf numFmtId="9" fontId="20" fillId="31" borderId="0" xfId="1" applyFont="1" applyFill="1" applyAlignment="1">
      <alignment horizontal="center" vertical="center"/>
    </xf>
    <xf numFmtId="14" fontId="24" fillId="31" borderId="20" xfId="0" applyNumberFormat="1" applyFont="1" applyFill="1" applyBorder="1" applyAlignment="1">
      <alignment horizontal="center" vertical="center"/>
    </xf>
    <xf numFmtId="0" fontId="24" fillId="31" borderId="20" xfId="0" applyFont="1" applyFill="1" applyBorder="1" applyAlignment="1">
      <alignment horizontal="center" vertical="center"/>
    </xf>
    <xf numFmtId="2" fontId="24" fillId="31" borderId="20" xfId="0" applyNumberFormat="1" applyFont="1" applyFill="1" applyBorder="1" applyAlignment="1">
      <alignment horizontal="center" vertical="center"/>
    </xf>
    <xf numFmtId="9" fontId="24" fillId="31" borderId="20" xfId="0" applyNumberFormat="1" applyFont="1" applyFill="1" applyBorder="1" applyAlignment="1">
      <alignment horizontal="center" vertical="center"/>
    </xf>
    <xf numFmtId="3" fontId="24" fillId="31" borderId="20" xfId="0" applyNumberFormat="1" applyFont="1" applyFill="1" applyBorder="1" applyAlignment="1">
      <alignment horizontal="center" vertical="center"/>
    </xf>
    <xf numFmtId="9" fontId="20" fillId="31" borderId="20" xfId="1" applyFont="1" applyFill="1" applyBorder="1" applyAlignment="1">
      <alignment horizontal="center" vertical="center"/>
    </xf>
    <xf numFmtId="14" fontId="24" fillId="31" borderId="7" xfId="0" applyNumberFormat="1" applyFont="1" applyFill="1" applyBorder="1" applyAlignment="1">
      <alignment horizontal="center" vertical="center"/>
    </xf>
    <xf numFmtId="0" fontId="24" fillId="31" borderId="7" xfId="0" applyFont="1" applyFill="1" applyBorder="1" applyAlignment="1">
      <alignment horizontal="center" vertical="center"/>
    </xf>
    <xf numFmtId="2" fontId="24" fillId="31" borderId="7" xfId="0" applyNumberFormat="1" applyFont="1" applyFill="1" applyBorder="1" applyAlignment="1">
      <alignment horizontal="center" vertical="center"/>
    </xf>
    <xf numFmtId="9" fontId="24" fillId="31" borderId="7" xfId="0" applyNumberFormat="1" applyFont="1" applyFill="1" applyBorder="1" applyAlignment="1">
      <alignment horizontal="center" vertical="center"/>
    </xf>
    <xf numFmtId="3" fontId="24" fillId="31" borderId="7" xfId="0" applyNumberFormat="1" applyFont="1" applyFill="1" applyBorder="1" applyAlignment="1">
      <alignment horizontal="center" vertical="center"/>
    </xf>
    <xf numFmtId="9" fontId="20" fillId="31" borderId="7" xfId="1" applyFont="1" applyFill="1" applyBorder="1" applyAlignment="1">
      <alignment horizontal="center" vertical="center"/>
    </xf>
    <xf numFmtId="0" fontId="18" fillId="0" borderId="0" xfId="0" applyFont="1" applyBorder="1" applyAlignment="1">
      <alignment horizontal="left" vertical="center"/>
    </xf>
    <xf numFmtId="0" fontId="25" fillId="24" borderId="22" xfId="0" applyFont="1" applyFill="1" applyBorder="1" applyAlignment="1">
      <alignment horizontal="right" vertical="center"/>
    </xf>
    <xf numFmtId="0" fontId="25" fillId="24" borderId="9" xfId="0" applyFont="1" applyFill="1" applyBorder="1" applyAlignment="1">
      <alignment horizontal="right" vertical="center"/>
    </xf>
    <xf numFmtId="0" fontId="25" fillId="24" borderId="23" xfId="0" applyFont="1" applyFill="1" applyBorder="1" applyAlignment="1">
      <alignment horizontal="right" vertical="center"/>
    </xf>
    <xf numFmtId="14" fontId="20" fillId="32" borderId="8" xfId="0" applyNumberFormat="1" applyFont="1" applyFill="1" applyBorder="1" applyAlignment="1">
      <alignment horizontal="center" vertical="center"/>
    </xf>
    <xf numFmtId="1" fontId="20" fillId="32" borderId="10" xfId="0" applyNumberFormat="1" applyFont="1" applyFill="1" applyBorder="1" applyAlignment="1">
      <alignment horizontal="center" vertical="center"/>
    </xf>
    <xf numFmtId="10" fontId="20" fillId="32" borderId="24" xfId="1" applyNumberFormat="1" applyFont="1" applyFill="1" applyBorder="1" applyAlignment="1">
      <alignment horizontal="center" vertical="center"/>
    </xf>
    <xf numFmtId="0" fontId="25" fillId="17" borderId="22" xfId="0" applyFont="1" applyFill="1" applyBorder="1" applyAlignment="1">
      <alignment horizontal="right" vertical="center"/>
    </xf>
    <xf numFmtId="14" fontId="20" fillId="35" borderId="8" xfId="0" applyNumberFormat="1" applyFont="1" applyFill="1" applyBorder="1" applyAlignment="1">
      <alignment horizontal="center" vertical="center"/>
    </xf>
    <xf numFmtId="0" fontId="25" fillId="17" borderId="9" xfId="0" applyFont="1" applyFill="1" applyBorder="1" applyAlignment="1">
      <alignment horizontal="right" vertical="center"/>
    </xf>
    <xf numFmtId="1" fontId="20" fillId="35" borderId="10" xfId="0" applyNumberFormat="1" applyFont="1" applyFill="1" applyBorder="1" applyAlignment="1">
      <alignment horizontal="center" vertical="center"/>
    </xf>
    <xf numFmtId="0" fontId="25" fillId="17" borderId="23" xfId="0" applyFont="1" applyFill="1" applyBorder="1" applyAlignment="1">
      <alignment horizontal="right" vertical="center"/>
    </xf>
    <xf numFmtId="10" fontId="20" fillId="35" borderId="24" xfId="1" applyNumberFormat="1" applyFont="1" applyFill="1" applyBorder="1" applyAlignment="1">
      <alignment horizontal="center" vertical="center"/>
    </xf>
    <xf numFmtId="0" fontId="25" fillId="34" borderId="22" xfId="0" applyFont="1" applyFill="1" applyBorder="1" applyAlignment="1">
      <alignment horizontal="right" vertical="center"/>
    </xf>
    <xf numFmtId="14" fontId="20" fillId="33" borderId="8" xfId="0" applyNumberFormat="1" applyFont="1" applyFill="1" applyBorder="1" applyAlignment="1">
      <alignment horizontal="center" vertical="center"/>
    </xf>
    <xf numFmtId="0" fontId="25" fillId="34" borderId="9" xfId="0" applyFont="1" applyFill="1" applyBorder="1" applyAlignment="1">
      <alignment horizontal="right" vertical="center"/>
    </xf>
    <xf numFmtId="1" fontId="20" fillId="33" borderId="10" xfId="0" applyNumberFormat="1" applyFont="1" applyFill="1" applyBorder="1" applyAlignment="1">
      <alignment horizontal="center" vertical="center"/>
    </xf>
    <xf numFmtId="0" fontId="25" fillId="34" borderId="23" xfId="0" applyFont="1" applyFill="1" applyBorder="1" applyAlignment="1">
      <alignment horizontal="right" vertical="center"/>
    </xf>
    <xf numFmtId="10" fontId="20" fillId="33" borderId="24" xfId="1" applyNumberFormat="1" applyFont="1" applyFill="1" applyBorder="1" applyAlignment="1">
      <alignment horizontal="center" vertical="center"/>
    </xf>
    <xf numFmtId="0" fontId="25" fillId="24" borderId="25" xfId="0" applyFont="1" applyFill="1" applyBorder="1" applyAlignment="1">
      <alignment horizontal="right" vertical="center"/>
    </xf>
    <xf numFmtId="14" fontId="20" fillId="36" borderId="26" xfId="0" applyNumberFormat="1" applyFont="1" applyFill="1" applyBorder="1" applyAlignment="1">
      <alignment horizontal="center" vertical="center"/>
    </xf>
    <xf numFmtId="0" fontId="25" fillId="24" borderId="27" xfId="0" applyFont="1" applyFill="1" applyBorder="1" applyAlignment="1">
      <alignment horizontal="right" vertical="center"/>
    </xf>
    <xf numFmtId="1" fontId="20" fillId="36" borderId="28" xfId="0" applyNumberFormat="1" applyFont="1" applyFill="1" applyBorder="1" applyAlignment="1">
      <alignment horizontal="center" vertical="center"/>
    </xf>
    <xf numFmtId="0" fontId="25" fillId="24" borderId="29" xfId="0" applyFont="1" applyFill="1" applyBorder="1" applyAlignment="1">
      <alignment horizontal="right" vertical="center"/>
    </xf>
    <xf numFmtId="10" fontId="20" fillId="36" borderId="30" xfId="1" applyNumberFormat="1" applyFont="1" applyFill="1" applyBorder="1" applyAlignment="1">
      <alignment horizontal="center" vertical="center"/>
    </xf>
  </cellXfs>
  <cellStyles count="3">
    <cellStyle name="Currency" xfId="2" builtinId="4"/>
    <cellStyle name="Normal" xfId="0" builtinId="0"/>
    <cellStyle name="Percent" xfId="1" builtinId="5"/>
  </cellStyles>
  <dxfs count="7">
    <dxf>
      <font>
        <strike val="0"/>
        <color theme="0"/>
      </font>
    </dxf>
    <dxf>
      <font>
        <strike val="0"/>
        <color theme="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4" formatCode="0.00%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13" formatCode="0%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colors>
    <mruColors>
      <color rgb="FF7079F2"/>
      <color rgb="FFB93148"/>
      <color rgb="FFDD7D8D"/>
      <color rgb="FFDFFDE2"/>
      <color rgb="FFB7FBBD"/>
      <color rgb="FF0DE922"/>
      <color rgb="FFB0CCF2"/>
      <color rgb="FFAEB3F8"/>
      <color rgb="FFD5D8FB"/>
      <color rgb="FFA7C4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P(In-the-money) vs Volatility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986012002480515"/>
          <c:y val="0.10250932762129839"/>
          <c:w val="0.84220292230879379"/>
          <c:h val="0.73783335311700338"/>
        </c:manualLayout>
      </c:layout>
      <c:scatterChart>
        <c:scatterStyle val="lineMarker"/>
        <c:varyColors val="0"/>
        <c:ser>
          <c:idx val="0"/>
          <c:order val="0"/>
          <c:tx>
            <c:strRef>
              <c:f>BS!$Q$10</c:f>
              <c:strCache>
                <c:ptCount val="1"/>
                <c:pt idx="0">
                  <c:v>N(d2)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BS!$P$11:$P$89</c:f>
              <c:numCache>
                <c:formatCode>0%</c:formatCode>
                <c:ptCount val="79"/>
                <c:pt idx="0">
                  <c:v>0.1</c:v>
                </c:pt>
                <c:pt idx="1">
                  <c:v>0.15000000000000002</c:v>
                </c:pt>
                <c:pt idx="2">
                  <c:v>0.2</c:v>
                </c:pt>
                <c:pt idx="3">
                  <c:v>0.25</c:v>
                </c:pt>
                <c:pt idx="4">
                  <c:v>0.3</c:v>
                </c:pt>
                <c:pt idx="5">
                  <c:v>0.35</c:v>
                </c:pt>
                <c:pt idx="6">
                  <c:v>0.39999999999999997</c:v>
                </c:pt>
                <c:pt idx="7">
                  <c:v>0.44999999999999996</c:v>
                </c:pt>
                <c:pt idx="8">
                  <c:v>0.49999999999999994</c:v>
                </c:pt>
                <c:pt idx="9">
                  <c:v>0.54999999999999993</c:v>
                </c:pt>
                <c:pt idx="10">
                  <c:v>0.6</c:v>
                </c:pt>
                <c:pt idx="11">
                  <c:v>0.65</c:v>
                </c:pt>
                <c:pt idx="12">
                  <c:v>0.70000000000000007</c:v>
                </c:pt>
                <c:pt idx="13">
                  <c:v>0.75000000000000011</c:v>
                </c:pt>
                <c:pt idx="14">
                  <c:v>0.80000000000000016</c:v>
                </c:pt>
                <c:pt idx="15">
                  <c:v>0.8500000000000002</c:v>
                </c:pt>
                <c:pt idx="16">
                  <c:v>0.90000000000000024</c:v>
                </c:pt>
                <c:pt idx="17">
                  <c:v>0.95000000000000029</c:v>
                </c:pt>
                <c:pt idx="18">
                  <c:v>1.0000000000000002</c:v>
                </c:pt>
                <c:pt idx="19">
                  <c:v>1.0500000000000003</c:v>
                </c:pt>
                <c:pt idx="20">
                  <c:v>1.1000000000000003</c:v>
                </c:pt>
                <c:pt idx="21">
                  <c:v>1.1500000000000004</c:v>
                </c:pt>
                <c:pt idx="22">
                  <c:v>1.2000000000000004</c:v>
                </c:pt>
                <c:pt idx="23">
                  <c:v>1.2500000000000004</c:v>
                </c:pt>
                <c:pt idx="24">
                  <c:v>1.3000000000000005</c:v>
                </c:pt>
                <c:pt idx="25">
                  <c:v>1.3500000000000005</c:v>
                </c:pt>
                <c:pt idx="26">
                  <c:v>1.4000000000000006</c:v>
                </c:pt>
                <c:pt idx="27">
                  <c:v>1.4500000000000006</c:v>
                </c:pt>
                <c:pt idx="28">
                  <c:v>1.5000000000000007</c:v>
                </c:pt>
                <c:pt idx="29">
                  <c:v>1.5500000000000007</c:v>
                </c:pt>
                <c:pt idx="30">
                  <c:v>1.6000000000000008</c:v>
                </c:pt>
                <c:pt idx="31">
                  <c:v>1.6500000000000008</c:v>
                </c:pt>
                <c:pt idx="32">
                  <c:v>1.7000000000000008</c:v>
                </c:pt>
                <c:pt idx="33">
                  <c:v>1.7500000000000009</c:v>
                </c:pt>
                <c:pt idx="34">
                  <c:v>1.8000000000000009</c:v>
                </c:pt>
                <c:pt idx="35">
                  <c:v>1.850000000000001</c:v>
                </c:pt>
                <c:pt idx="36">
                  <c:v>1.900000000000001</c:v>
                </c:pt>
                <c:pt idx="37">
                  <c:v>1.9500000000000011</c:v>
                </c:pt>
                <c:pt idx="38">
                  <c:v>2.0000000000000009</c:v>
                </c:pt>
                <c:pt idx="39">
                  <c:v>2.0500000000000007</c:v>
                </c:pt>
                <c:pt idx="40">
                  <c:v>2.1000000000000005</c:v>
                </c:pt>
                <c:pt idx="41">
                  <c:v>2.1500000000000004</c:v>
                </c:pt>
                <c:pt idx="42">
                  <c:v>2.2000000000000002</c:v>
                </c:pt>
                <c:pt idx="43">
                  <c:v>2.25</c:v>
                </c:pt>
                <c:pt idx="44">
                  <c:v>2.2999999999999998</c:v>
                </c:pt>
                <c:pt idx="45">
                  <c:v>2.3499999999999996</c:v>
                </c:pt>
                <c:pt idx="46">
                  <c:v>2.3999999999999995</c:v>
                </c:pt>
                <c:pt idx="47">
                  <c:v>2.4499999999999993</c:v>
                </c:pt>
                <c:pt idx="48">
                  <c:v>2.4999999999999991</c:v>
                </c:pt>
                <c:pt idx="49">
                  <c:v>2.5499999999999989</c:v>
                </c:pt>
                <c:pt idx="50">
                  <c:v>2.5999999999999988</c:v>
                </c:pt>
                <c:pt idx="51">
                  <c:v>2.6499999999999986</c:v>
                </c:pt>
                <c:pt idx="52">
                  <c:v>2.6999999999999984</c:v>
                </c:pt>
                <c:pt idx="53">
                  <c:v>2.7499999999999982</c:v>
                </c:pt>
                <c:pt idx="54">
                  <c:v>2.799999999999998</c:v>
                </c:pt>
                <c:pt idx="55">
                  <c:v>2.8499999999999979</c:v>
                </c:pt>
                <c:pt idx="56">
                  <c:v>2.8999999999999977</c:v>
                </c:pt>
                <c:pt idx="57">
                  <c:v>2.9499999999999975</c:v>
                </c:pt>
                <c:pt idx="58">
                  <c:v>2.9999999999999973</c:v>
                </c:pt>
                <c:pt idx="59">
                  <c:v>3.0499999999999972</c:v>
                </c:pt>
                <c:pt idx="60">
                  <c:v>3.099999999999997</c:v>
                </c:pt>
                <c:pt idx="61">
                  <c:v>3.1499999999999968</c:v>
                </c:pt>
                <c:pt idx="62">
                  <c:v>3.1999999999999966</c:v>
                </c:pt>
                <c:pt idx="63">
                  <c:v>3.2499999999999964</c:v>
                </c:pt>
                <c:pt idx="64">
                  <c:v>3.2999999999999963</c:v>
                </c:pt>
                <c:pt idx="65">
                  <c:v>3.3499999999999961</c:v>
                </c:pt>
                <c:pt idx="66">
                  <c:v>3.3999999999999959</c:v>
                </c:pt>
                <c:pt idx="67">
                  <c:v>3.4499999999999957</c:v>
                </c:pt>
                <c:pt idx="68">
                  <c:v>3.4999999999999956</c:v>
                </c:pt>
                <c:pt idx="69">
                  <c:v>3.5499999999999954</c:v>
                </c:pt>
                <c:pt idx="70">
                  <c:v>3.5999999999999952</c:v>
                </c:pt>
                <c:pt idx="71">
                  <c:v>3.649999999999995</c:v>
                </c:pt>
                <c:pt idx="72">
                  <c:v>3.6999999999999948</c:v>
                </c:pt>
                <c:pt idx="73">
                  <c:v>3.7499999999999947</c:v>
                </c:pt>
                <c:pt idx="74">
                  <c:v>3.7999999999999945</c:v>
                </c:pt>
                <c:pt idx="75">
                  <c:v>3.8499999999999943</c:v>
                </c:pt>
                <c:pt idx="76">
                  <c:v>3.8999999999999941</c:v>
                </c:pt>
                <c:pt idx="77">
                  <c:v>3.949999999999994</c:v>
                </c:pt>
                <c:pt idx="78">
                  <c:v>3.9999999999999938</c:v>
                </c:pt>
              </c:numCache>
            </c:numRef>
          </c:xVal>
          <c:yVal>
            <c:numRef>
              <c:f>BS!$Q$11:$Q$89</c:f>
              <c:numCache>
                <c:formatCode>0.0%</c:formatCode>
                <c:ptCount val="79"/>
                <c:pt idx="0">
                  <c:v>0.48006119416162751</c:v>
                </c:pt>
                <c:pt idx="1">
                  <c:v>0.47010735594710523</c:v>
                </c:pt>
                <c:pt idx="2">
                  <c:v>0.46017216272297101</c:v>
                </c:pt>
                <c:pt idx="3">
                  <c:v>0.45026177516988708</c:v>
                </c:pt>
                <c:pt idx="4">
                  <c:v>0.4403823076297575</c:v>
                </c:pt>
                <c:pt idx="5">
                  <c:v>0.43053981679232634</c:v>
                </c:pt>
                <c:pt idx="6">
                  <c:v>0.42074029056089696</c:v>
                </c:pt>
                <c:pt idx="7">
                  <c:v>0.41098963713127035</c:v>
                </c:pt>
                <c:pt idx="8">
                  <c:v>0.4012936743170763</c:v>
                </c:pt>
                <c:pt idx="9">
                  <c:v>0.39165811915360521</c:v>
                </c:pt>
                <c:pt idx="10">
                  <c:v>0.38208857781104733</c:v>
                </c:pt>
                <c:pt idx="11">
                  <c:v>0.37259053584671598</c:v>
                </c:pt>
                <c:pt idx="12">
                  <c:v>0.3631693488243809</c:v>
                </c:pt>
                <c:pt idx="13">
                  <c:v>0.35383023332727614</c:v>
                </c:pt>
                <c:pt idx="14">
                  <c:v>0.34457825838967576</c:v>
                </c:pt>
                <c:pt idx="15">
                  <c:v>0.33541833737016946</c:v>
                </c:pt>
                <c:pt idx="16">
                  <c:v>0.32635522028791997</c:v>
                </c:pt>
                <c:pt idx="17">
                  <c:v>0.31739348664125899</c:v>
                </c:pt>
                <c:pt idx="18">
                  <c:v>0.30853753872598688</c:v>
                </c:pt>
                <c:pt idx="19">
                  <c:v>0.29979159546869583</c:v>
                </c:pt>
                <c:pt idx="20">
                  <c:v>0.29115968678834631</c:v>
                </c:pt>
                <c:pt idx="21">
                  <c:v>0.28264564849720053</c:v>
                </c:pt>
                <c:pt idx="22">
                  <c:v>0.27425311775007349</c:v>
                </c:pt>
                <c:pt idx="23">
                  <c:v>0.26598552904870043</c:v>
                </c:pt>
                <c:pt idx="24">
                  <c:v>0.25784611080586461</c:v>
                </c:pt>
                <c:pt idx="25">
                  <c:v>0.24983788247177691</c:v>
                </c:pt>
                <c:pt idx="26">
                  <c:v>0.24196365222307287</c:v>
                </c:pt>
                <c:pt idx="27">
                  <c:v>0.23422601521269476</c:v>
                </c:pt>
                <c:pt idx="28">
                  <c:v>0.22662735237686801</c:v>
                </c:pt>
                <c:pt idx="29">
                  <c:v>0.21916982979337732</c:v>
                </c:pt>
                <c:pt idx="30">
                  <c:v>0.21185539858339655</c:v>
                </c:pt>
                <c:pt idx="31">
                  <c:v>0.20468579534725251</c:v>
                </c:pt>
                <c:pt idx="32">
                  <c:v>0.19766254312269221</c:v>
                </c:pt>
                <c:pt idx="33">
                  <c:v>0.19078695285251049</c:v>
                </c:pt>
                <c:pt idx="34">
                  <c:v>0.18406012534675936</c:v>
                </c:pt>
                <c:pt idx="35">
                  <c:v>0.17748295372323214</c:v>
                </c:pt>
                <c:pt idx="36">
                  <c:v>0.17105612630848166</c:v>
                </c:pt>
                <c:pt idx="37">
                  <c:v>0.16478012998031025</c:v>
                </c:pt>
                <c:pt idx="38">
                  <c:v>0.15865525393145691</c:v>
                </c:pt>
                <c:pt idx="39">
                  <c:v>0.15268159383311028</c:v>
                </c:pt>
                <c:pt idx="40">
                  <c:v>0.14685905637589591</c:v>
                </c:pt>
                <c:pt idx="41">
                  <c:v>0.14118736416512892</c:v>
                </c:pt>
                <c:pt idx="42">
                  <c:v>0.13566606094638264</c:v>
                </c:pt>
                <c:pt idx="43">
                  <c:v>0.13029451713680881</c:v>
                </c:pt>
                <c:pt idx="44">
                  <c:v>0.12507193563715024</c:v>
                </c:pt>
                <c:pt idx="45">
                  <c:v>0.1199973578990125</c:v>
                </c:pt>
                <c:pt idx="46">
                  <c:v>0.1150696702217083</c:v>
                </c:pt>
                <c:pt idx="47">
                  <c:v>0.11028761025285129</c:v>
                </c:pt>
                <c:pt idx="48">
                  <c:v>0.10564977366685532</c:v>
                </c:pt>
                <c:pt idx="49">
                  <c:v>0.10115462099558593</c:v>
                </c:pt>
                <c:pt idx="50">
                  <c:v>9.6800484585610427E-2</c:v>
                </c:pt>
                <c:pt idx="51">
                  <c:v>9.2585575656795011E-2</c:v>
                </c:pt>
                <c:pt idx="52">
                  <c:v>8.850799143740215E-2</c:v>
                </c:pt>
                <c:pt idx="53">
                  <c:v>8.4565722351335873E-2</c:v>
                </c:pt>
                <c:pt idx="54">
                  <c:v>8.0756659233771164E-2</c:v>
                </c:pt>
                <c:pt idx="55">
                  <c:v>7.7078600552071996E-2</c:v>
                </c:pt>
                <c:pt idx="56">
                  <c:v>7.3529259609648498E-2</c:v>
                </c:pt>
                <c:pt idx="57">
                  <c:v>7.0106271711223286E-2</c:v>
                </c:pt>
                <c:pt idx="58">
                  <c:v>6.6807201268858196E-2</c:v>
                </c:pt>
                <c:pt idx="59">
                  <c:v>6.3629548829032823E-2</c:v>
                </c:pt>
                <c:pt idx="60">
                  <c:v>6.0570758002059175E-2</c:v>
                </c:pt>
                <c:pt idx="61">
                  <c:v>5.7628222276153315E-2</c:v>
                </c:pt>
                <c:pt idx="62">
                  <c:v>5.4799291699558182E-2</c:v>
                </c:pt>
                <c:pt idx="63">
                  <c:v>5.2081279415219728E-2</c:v>
                </c:pt>
                <c:pt idx="64">
                  <c:v>4.9471468033648276E-2</c:v>
                </c:pt>
                <c:pt idx="65">
                  <c:v>4.6967115830745983E-2</c:v>
                </c:pt>
                <c:pt idx="66">
                  <c:v>4.4565462758543194E-2</c:v>
                </c:pt>
                <c:pt idx="67">
                  <c:v>4.2263736257952648E-2</c:v>
                </c:pt>
                <c:pt idx="68">
                  <c:v>4.0059156863817259E-2</c:v>
                </c:pt>
                <c:pt idx="69">
                  <c:v>3.7948943593689312E-2</c:v>
                </c:pt>
                <c:pt idx="70">
                  <c:v>3.5930319112925983E-2</c:v>
                </c:pt>
                <c:pt idx="71">
                  <c:v>3.400051466982261E-2</c:v>
                </c:pt>
                <c:pt idx="72">
                  <c:v>3.2156774795613886E-2</c:v>
                </c:pt>
                <c:pt idx="73">
                  <c:v>3.0396361765261563E-2</c:v>
                </c:pt>
                <c:pt idx="74">
                  <c:v>2.8716559816001963E-2</c:v>
                </c:pt>
                <c:pt idx="75">
                  <c:v>2.7114679121649832E-2</c:v>
                </c:pt>
                <c:pt idx="76">
                  <c:v>2.5588059521638801E-2</c:v>
                </c:pt>
                <c:pt idx="77">
                  <c:v>2.4134074004724931E-2</c:v>
                </c:pt>
                <c:pt idx="78">
                  <c:v>2.2750131948179372E-2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6BD-4127-9D39-7F04C9401E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52385647"/>
        <c:axId val="1138069055"/>
      </c:scatterChart>
      <c:valAx>
        <c:axId val="1352385647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Volatility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38069055"/>
        <c:crosses val="autoZero"/>
        <c:crossBetween val="midCat"/>
        <c:majorUnit val="0.25"/>
      </c:valAx>
      <c:valAx>
        <c:axId val="11380690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5238564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3.4588210173467529E-3"/>
          <c:y val="0.39278732512533426"/>
          <c:w val="6.0988336894891151E-2"/>
          <c:h val="4.43196947331458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Delta vs Volatility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008576763822038"/>
          <c:y val="0.10429288404806748"/>
          <c:w val="0.85197729583919002"/>
          <c:h val="0.73604994111012967"/>
        </c:manualLayout>
      </c:layout>
      <c:scatterChart>
        <c:scatterStyle val="lineMarker"/>
        <c:varyColors val="0"/>
        <c:ser>
          <c:idx val="0"/>
          <c:order val="0"/>
          <c:tx>
            <c:strRef>
              <c:f>BS!$R$10</c:f>
              <c:strCache>
                <c:ptCount val="1"/>
                <c:pt idx="0">
                  <c:v>Delta</c:v>
                </c:pt>
              </c:strCache>
            </c:strRef>
          </c:tx>
          <c:spPr>
            <a:ln w="25400" cap="rnd">
              <a:solidFill>
                <a:schemeClr val="bg1"/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rgbClr val="FFC000"/>
              </a:solidFill>
              <a:ln w="9525">
                <a:solidFill>
                  <a:schemeClr val="bg1"/>
                </a:solidFill>
              </a:ln>
              <a:effectLst/>
            </c:spPr>
          </c:marker>
          <c:xVal>
            <c:numRef>
              <c:f>BS!$P$11:$P$89</c:f>
              <c:numCache>
                <c:formatCode>0%</c:formatCode>
                <c:ptCount val="79"/>
                <c:pt idx="0">
                  <c:v>0.1</c:v>
                </c:pt>
                <c:pt idx="1">
                  <c:v>0.15000000000000002</c:v>
                </c:pt>
                <c:pt idx="2">
                  <c:v>0.2</c:v>
                </c:pt>
                <c:pt idx="3">
                  <c:v>0.25</c:v>
                </c:pt>
                <c:pt idx="4">
                  <c:v>0.3</c:v>
                </c:pt>
                <c:pt idx="5">
                  <c:v>0.35</c:v>
                </c:pt>
                <c:pt idx="6">
                  <c:v>0.39999999999999997</c:v>
                </c:pt>
                <c:pt idx="7">
                  <c:v>0.44999999999999996</c:v>
                </c:pt>
                <c:pt idx="8">
                  <c:v>0.49999999999999994</c:v>
                </c:pt>
                <c:pt idx="9">
                  <c:v>0.54999999999999993</c:v>
                </c:pt>
                <c:pt idx="10">
                  <c:v>0.6</c:v>
                </c:pt>
                <c:pt idx="11">
                  <c:v>0.65</c:v>
                </c:pt>
                <c:pt idx="12">
                  <c:v>0.70000000000000007</c:v>
                </c:pt>
                <c:pt idx="13">
                  <c:v>0.75000000000000011</c:v>
                </c:pt>
                <c:pt idx="14">
                  <c:v>0.80000000000000016</c:v>
                </c:pt>
                <c:pt idx="15">
                  <c:v>0.8500000000000002</c:v>
                </c:pt>
                <c:pt idx="16">
                  <c:v>0.90000000000000024</c:v>
                </c:pt>
                <c:pt idx="17">
                  <c:v>0.95000000000000029</c:v>
                </c:pt>
                <c:pt idx="18">
                  <c:v>1.0000000000000002</c:v>
                </c:pt>
                <c:pt idx="19">
                  <c:v>1.0500000000000003</c:v>
                </c:pt>
                <c:pt idx="20">
                  <c:v>1.1000000000000003</c:v>
                </c:pt>
                <c:pt idx="21">
                  <c:v>1.1500000000000004</c:v>
                </c:pt>
                <c:pt idx="22">
                  <c:v>1.2000000000000004</c:v>
                </c:pt>
                <c:pt idx="23">
                  <c:v>1.2500000000000004</c:v>
                </c:pt>
                <c:pt idx="24">
                  <c:v>1.3000000000000005</c:v>
                </c:pt>
                <c:pt idx="25">
                  <c:v>1.3500000000000005</c:v>
                </c:pt>
                <c:pt idx="26">
                  <c:v>1.4000000000000006</c:v>
                </c:pt>
                <c:pt idx="27">
                  <c:v>1.4500000000000006</c:v>
                </c:pt>
                <c:pt idx="28">
                  <c:v>1.5000000000000007</c:v>
                </c:pt>
                <c:pt idx="29">
                  <c:v>1.5500000000000007</c:v>
                </c:pt>
                <c:pt idx="30">
                  <c:v>1.6000000000000008</c:v>
                </c:pt>
                <c:pt idx="31">
                  <c:v>1.6500000000000008</c:v>
                </c:pt>
                <c:pt idx="32">
                  <c:v>1.7000000000000008</c:v>
                </c:pt>
                <c:pt idx="33">
                  <c:v>1.7500000000000009</c:v>
                </c:pt>
                <c:pt idx="34">
                  <c:v>1.8000000000000009</c:v>
                </c:pt>
                <c:pt idx="35">
                  <c:v>1.850000000000001</c:v>
                </c:pt>
                <c:pt idx="36">
                  <c:v>1.900000000000001</c:v>
                </c:pt>
                <c:pt idx="37">
                  <c:v>1.9500000000000011</c:v>
                </c:pt>
                <c:pt idx="38">
                  <c:v>2.0000000000000009</c:v>
                </c:pt>
                <c:pt idx="39">
                  <c:v>2.0500000000000007</c:v>
                </c:pt>
                <c:pt idx="40">
                  <c:v>2.1000000000000005</c:v>
                </c:pt>
                <c:pt idx="41">
                  <c:v>2.1500000000000004</c:v>
                </c:pt>
                <c:pt idx="42">
                  <c:v>2.2000000000000002</c:v>
                </c:pt>
                <c:pt idx="43">
                  <c:v>2.25</c:v>
                </c:pt>
                <c:pt idx="44">
                  <c:v>2.2999999999999998</c:v>
                </c:pt>
                <c:pt idx="45">
                  <c:v>2.3499999999999996</c:v>
                </c:pt>
                <c:pt idx="46">
                  <c:v>2.3999999999999995</c:v>
                </c:pt>
                <c:pt idx="47">
                  <c:v>2.4499999999999993</c:v>
                </c:pt>
                <c:pt idx="48">
                  <c:v>2.4999999999999991</c:v>
                </c:pt>
                <c:pt idx="49">
                  <c:v>2.5499999999999989</c:v>
                </c:pt>
                <c:pt idx="50">
                  <c:v>2.5999999999999988</c:v>
                </c:pt>
                <c:pt idx="51">
                  <c:v>2.6499999999999986</c:v>
                </c:pt>
                <c:pt idx="52">
                  <c:v>2.6999999999999984</c:v>
                </c:pt>
                <c:pt idx="53">
                  <c:v>2.7499999999999982</c:v>
                </c:pt>
                <c:pt idx="54">
                  <c:v>2.799999999999998</c:v>
                </c:pt>
                <c:pt idx="55">
                  <c:v>2.8499999999999979</c:v>
                </c:pt>
                <c:pt idx="56">
                  <c:v>2.8999999999999977</c:v>
                </c:pt>
                <c:pt idx="57">
                  <c:v>2.9499999999999975</c:v>
                </c:pt>
                <c:pt idx="58">
                  <c:v>2.9999999999999973</c:v>
                </c:pt>
                <c:pt idx="59">
                  <c:v>3.0499999999999972</c:v>
                </c:pt>
                <c:pt idx="60">
                  <c:v>3.099999999999997</c:v>
                </c:pt>
                <c:pt idx="61">
                  <c:v>3.1499999999999968</c:v>
                </c:pt>
                <c:pt idx="62">
                  <c:v>3.1999999999999966</c:v>
                </c:pt>
                <c:pt idx="63">
                  <c:v>3.2499999999999964</c:v>
                </c:pt>
                <c:pt idx="64">
                  <c:v>3.2999999999999963</c:v>
                </c:pt>
                <c:pt idx="65">
                  <c:v>3.3499999999999961</c:v>
                </c:pt>
                <c:pt idx="66">
                  <c:v>3.3999999999999959</c:v>
                </c:pt>
                <c:pt idx="67">
                  <c:v>3.4499999999999957</c:v>
                </c:pt>
                <c:pt idx="68">
                  <c:v>3.4999999999999956</c:v>
                </c:pt>
                <c:pt idx="69">
                  <c:v>3.5499999999999954</c:v>
                </c:pt>
                <c:pt idx="70">
                  <c:v>3.5999999999999952</c:v>
                </c:pt>
                <c:pt idx="71">
                  <c:v>3.649999999999995</c:v>
                </c:pt>
                <c:pt idx="72">
                  <c:v>3.6999999999999948</c:v>
                </c:pt>
                <c:pt idx="73">
                  <c:v>3.7499999999999947</c:v>
                </c:pt>
                <c:pt idx="74">
                  <c:v>3.7999999999999945</c:v>
                </c:pt>
                <c:pt idx="75">
                  <c:v>3.8499999999999943</c:v>
                </c:pt>
                <c:pt idx="76">
                  <c:v>3.8999999999999941</c:v>
                </c:pt>
                <c:pt idx="77">
                  <c:v>3.949999999999994</c:v>
                </c:pt>
                <c:pt idx="78">
                  <c:v>3.9999999999999938</c:v>
                </c:pt>
              </c:numCache>
            </c:numRef>
          </c:xVal>
          <c:yVal>
            <c:numRef>
              <c:f>BS!$R$11:$R$89</c:f>
              <c:numCache>
                <c:formatCode>0.00</c:formatCode>
                <c:ptCount val="79"/>
                <c:pt idx="0">
                  <c:v>0.51993880583837249</c:v>
                </c:pt>
                <c:pt idx="1">
                  <c:v>0.52989264405289482</c:v>
                </c:pt>
                <c:pt idx="2">
                  <c:v>0.53982783727702899</c:v>
                </c:pt>
                <c:pt idx="3">
                  <c:v>0.54973822483011292</c:v>
                </c:pt>
                <c:pt idx="4">
                  <c:v>0.5596176923702425</c:v>
                </c:pt>
                <c:pt idx="5">
                  <c:v>0.56946018320767366</c:v>
                </c:pt>
                <c:pt idx="6">
                  <c:v>0.57925970943910299</c:v>
                </c:pt>
                <c:pt idx="7">
                  <c:v>0.58901036286872965</c:v>
                </c:pt>
                <c:pt idx="8">
                  <c:v>0.5987063256829237</c:v>
                </c:pt>
                <c:pt idx="9">
                  <c:v>0.60834188084639473</c:v>
                </c:pt>
                <c:pt idx="10">
                  <c:v>0.61791142218895267</c:v>
                </c:pt>
                <c:pt idx="11">
                  <c:v>0.62740946415328402</c:v>
                </c:pt>
                <c:pt idx="12">
                  <c:v>0.6368306511756191</c:v>
                </c:pt>
                <c:pt idx="13">
                  <c:v>0.64616976667272386</c:v>
                </c:pt>
                <c:pt idx="14">
                  <c:v>0.65542174161032429</c:v>
                </c:pt>
                <c:pt idx="15">
                  <c:v>0.66458166262983054</c:v>
                </c:pt>
                <c:pt idx="16">
                  <c:v>0.67364477971208003</c:v>
                </c:pt>
                <c:pt idx="17">
                  <c:v>0.68260651335874101</c:v>
                </c:pt>
                <c:pt idx="18">
                  <c:v>0.69146246127401312</c:v>
                </c:pt>
                <c:pt idx="19">
                  <c:v>0.70020840453130417</c:v>
                </c:pt>
                <c:pt idx="20">
                  <c:v>0.70884031321165364</c:v>
                </c:pt>
                <c:pt idx="21">
                  <c:v>0.71735435150279947</c:v>
                </c:pt>
                <c:pt idx="22">
                  <c:v>0.72574688224992645</c:v>
                </c:pt>
                <c:pt idx="23">
                  <c:v>0.73401447095129957</c:v>
                </c:pt>
                <c:pt idx="24">
                  <c:v>0.74215388919413539</c:v>
                </c:pt>
                <c:pt idx="25">
                  <c:v>0.75016211752822315</c:v>
                </c:pt>
                <c:pt idx="26">
                  <c:v>0.75803634777692719</c:v>
                </c:pt>
                <c:pt idx="27">
                  <c:v>0.7657739847873053</c:v>
                </c:pt>
                <c:pt idx="28">
                  <c:v>0.77337264762313185</c:v>
                </c:pt>
                <c:pt idx="29">
                  <c:v>0.78083017020662271</c:v>
                </c:pt>
                <c:pt idx="30">
                  <c:v>0.78814460141660347</c:v>
                </c:pt>
                <c:pt idx="31">
                  <c:v>0.79531420465274749</c:v>
                </c:pt>
                <c:pt idx="32">
                  <c:v>0.80233745687730784</c:v>
                </c:pt>
                <c:pt idx="33">
                  <c:v>0.80921304714748954</c:v>
                </c:pt>
                <c:pt idx="34">
                  <c:v>0.81593987465324069</c:v>
                </c:pt>
                <c:pt idx="35">
                  <c:v>0.82251704627676792</c:v>
                </c:pt>
                <c:pt idx="36">
                  <c:v>0.82894387369151834</c:v>
                </c:pt>
                <c:pt idx="37">
                  <c:v>0.83521987001968978</c:v>
                </c:pt>
                <c:pt idx="38">
                  <c:v>0.84134474606854304</c:v>
                </c:pt>
                <c:pt idx="39">
                  <c:v>0.84731840616688969</c:v>
                </c:pt>
                <c:pt idx="40">
                  <c:v>0.85314094362410409</c:v>
                </c:pt>
                <c:pt idx="41">
                  <c:v>0.85881263583487111</c:v>
                </c:pt>
                <c:pt idx="42">
                  <c:v>0.86433393905361733</c:v>
                </c:pt>
                <c:pt idx="43">
                  <c:v>0.86970548286319116</c:v>
                </c:pt>
                <c:pt idx="44">
                  <c:v>0.87492806436284976</c:v>
                </c:pt>
                <c:pt idx="45">
                  <c:v>0.88000264210098744</c:v>
                </c:pt>
                <c:pt idx="46">
                  <c:v>0.88493032977829167</c:v>
                </c:pt>
                <c:pt idx="47">
                  <c:v>0.88971238974714872</c:v>
                </c:pt>
                <c:pt idx="48">
                  <c:v>0.89435022633314465</c:v>
                </c:pt>
                <c:pt idx="49">
                  <c:v>0.89884537900441408</c:v>
                </c:pt>
                <c:pt idx="50">
                  <c:v>0.90319951541438959</c:v>
                </c:pt>
                <c:pt idx="51">
                  <c:v>0.90741442434320496</c:v>
                </c:pt>
                <c:pt idx="52">
                  <c:v>0.91149200856259782</c:v>
                </c:pt>
                <c:pt idx="53">
                  <c:v>0.91543427764866414</c:v>
                </c:pt>
                <c:pt idx="54">
                  <c:v>0.91924334076622882</c:v>
                </c:pt>
                <c:pt idx="55">
                  <c:v>0.92292139944792795</c:v>
                </c:pt>
                <c:pt idx="56">
                  <c:v>0.92647074039035149</c:v>
                </c:pt>
                <c:pt idx="57">
                  <c:v>0.9298937282887767</c:v>
                </c:pt>
                <c:pt idx="58">
                  <c:v>0.9331927987311418</c:v>
                </c:pt>
                <c:pt idx="59">
                  <c:v>0.93637045117096718</c:v>
                </c:pt>
                <c:pt idx="60">
                  <c:v>0.93942924199794087</c:v>
                </c:pt>
                <c:pt idx="61">
                  <c:v>0.94237177772384673</c:v>
                </c:pt>
                <c:pt idx="62">
                  <c:v>0.94520070830044178</c:v>
                </c:pt>
                <c:pt idx="63">
                  <c:v>0.94791872058478033</c:v>
                </c:pt>
                <c:pt idx="64">
                  <c:v>0.95052853196635168</c:v>
                </c:pt>
                <c:pt idx="65">
                  <c:v>0.95303288416925402</c:v>
                </c:pt>
                <c:pt idx="66">
                  <c:v>0.95543453724145677</c:v>
                </c:pt>
                <c:pt idx="67">
                  <c:v>0.95773626374204734</c:v>
                </c:pt>
                <c:pt idx="68">
                  <c:v>0.95994084313618278</c:v>
                </c:pt>
                <c:pt idx="69">
                  <c:v>0.96205105640631072</c:v>
                </c:pt>
                <c:pt idx="70">
                  <c:v>0.96406968088707401</c:v>
                </c:pt>
                <c:pt idx="71">
                  <c:v>0.96599948533017743</c:v>
                </c:pt>
                <c:pt idx="72">
                  <c:v>0.96784322520438615</c:v>
                </c:pt>
                <c:pt idx="73">
                  <c:v>0.9696036382347385</c:v>
                </c:pt>
                <c:pt idx="74">
                  <c:v>0.97128344018399804</c:v>
                </c:pt>
                <c:pt idx="75">
                  <c:v>0.97288532087835011</c:v>
                </c:pt>
                <c:pt idx="76">
                  <c:v>0.97441194047836122</c:v>
                </c:pt>
                <c:pt idx="77">
                  <c:v>0.97586592599527511</c:v>
                </c:pt>
                <c:pt idx="78">
                  <c:v>0.97724986805182068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35-4D30-BB2E-38E9DB1D39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52385647"/>
        <c:axId val="1138069055"/>
      </c:scatterChart>
      <c:valAx>
        <c:axId val="1352385647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Volatility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38069055"/>
        <c:crosses val="autoZero"/>
        <c:crossBetween val="midCat"/>
        <c:majorUnit val="0.25"/>
      </c:valAx>
      <c:valAx>
        <c:axId val="1138069055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5238564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Call Price vs Volatility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008576763822038"/>
          <c:y val="0.10429288404806748"/>
          <c:w val="0.85197729583919002"/>
          <c:h val="0.73604994111012967"/>
        </c:manualLayout>
      </c:layout>
      <c:scatterChart>
        <c:scatterStyle val="lineMarker"/>
        <c:varyColors val="0"/>
        <c:ser>
          <c:idx val="0"/>
          <c:order val="0"/>
          <c:tx>
            <c:strRef>
              <c:f>BS!$S$10</c:f>
              <c:strCache>
                <c:ptCount val="1"/>
                <c:pt idx="0">
                  <c:v>Call Value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rgbClr val="00B050"/>
              </a:solidFill>
              <a:ln w="9525">
                <a:solidFill>
                  <a:schemeClr val="bg1"/>
                </a:solidFill>
              </a:ln>
              <a:effectLst/>
            </c:spPr>
          </c:marker>
          <c:xVal>
            <c:numRef>
              <c:f>BS!$P$11:$P$89</c:f>
              <c:numCache>
                <c:formatCode>0%</c:formatCode>
                <c:ptCount val="79"/>
                <c:pt idx="0">
                  <c:v>0.1</c:v>
                </c:pt>
                <c:pt idx="1">
                  <c:v>0.15000000000000002</c:v>
                </c:pt>
                <c:pt idx="2">
                  <c:v>0.2</c:v>
                </c:pt>
                <c:pt idx="3">
                  <c:v>0.25</c:v>
                </c:pt>
                <c:pt idx="4">
                  <c:v>0.3</c:v>
                </c:pt>
                <c:pt idx="5">
                  <c:v>0.35</c:v>
                </c:pt>
                <c:pt idx="6">
                  <c:v>0.39999999999999997</c:v>
                </c:pt>
                <c:pt idx="7">
                  <c:v>0.44999999999999996</c:v>
                </c:pt>
                <c:pt idx="8">
                  <c:v>0.49999999999999994</c:v>
                </c:pt>
                <c:pt idx="9">
                  <c:v>0.54999999999999993</c:v>
                </c:pt>
                <c:pt idx="10">
                  <c:v>0.6</c:v>
                </c:pt>
                <c:pt idx="11">
                  <c:v>0.65</c:v>
                </c:pt>
                <c:pt idx="12">
                  <c:v>0.70000000000000007</c:v>
                </c:pt>
                <c:pt idx="13">
                  <c:v>0.75000000000000011</c:v>
                </c:pt>
                <c:pt idx="14">
                  <c:v>0.80000000000000016</c:v>
                </c:pt>
                <c:pt idx="15">
                  <c:v>0.8500000000000002</c:v>
                </c:pt>
                <c:pt idx="16">
                  <c:v>0.90000000000000024</c:v>
                </c:pt>
                <c:pt idx="17">
                  <c:v>0.95000000000000029</c:v>
                </c:pt>
                <c:pt idx="18">
                  <c:v>1.0000000000000002</c:v>
                </c:pt>
                <c:pt idx="19">
                  <c:v>1.0500000000000003</c:v>
                </c:pt>
                <c:pt idx="20">
                  <c:v>1.1000000000000003</c:v>
                </c:pt>
                <c:pt idx="21">
                  <c:v>1.1500000000000004</c:v>
                </c:pt>
                <c:pt idx="22">
                  <c:v>1.2000000000000004</c:v>
                </c:pt>
                <c:pt idx="23">
                  <c:v>1.2500000000000004</c:v>
                </c:pt>
                <c:pt idx="24">
                  <c:v>1.3000000000000005</c:v>
                </c:pt>
                <c:pt idx="25">
                  <c:v>1.3500000000000005</c:v>
                </c:pt>
                <c:pt idx="26">
                  <c:v>1.4000000000000006</c:v>
                </c:pt>
                <c:pt idx="27">
                  <c:v>1.4500000000000006</c:v>
                </c:pt>
                <c:pt idx="28">
                  <c:v>1.5000000000000007</c:v>
                </c:pt>
                <c:pt idx="29">
                  <c:v>1.5500000000000007</c:v>
                </c:pt>
                <c:pt idx="30">
                  <c:v>1.6000000000000008</c:v>
                </c:pt>
                <c:pt idx="31">
                  <c:v>1.6500000000000008</c:v>
                </c:pt>
                <c:pt idx="32">
                  <c:v>1.7000000000000008</c:v>
                </c:pt>
                <c:pt idx="33">
                  <c:v>1.7500000000000009</c:v>
                </c:pt>
                <c:pt idx="34">
                  <c:v>1.8000000000000009</c:v>
                </c:pt>
                <c:pt idx="35">
                  <c:v>1.850000000000001</c:v>
                </c:pt>
                <c:pt idx="36">
                  <c:v>1.900000000000001</c:v>
                </c:pt>
                <c:pt idx="37">
                  <c:v>1.9500000000000011</c:v>
                </c:pt>
                <c:pt idx="38">
                  <c:v>2.0000000000000009</c:v>
                </c:pt>
                <c:pt idx="39">
                  <c:v>2.0500000000000007</c:v>
                </c:pt>
                <c:pt idx="40">
                  <c:v>2.1000000000000005</c:v>
                </c:pt>
                <c:pt idx="41">
                  <c:v>2.1500000000000004</c:v>
                </c:pt>
                <c:pt idx="42">
                  <c:v>2.2000000000000002</c:v>
                </c:pt>
                <c:pt idx="43">
                  <c:v>2.25</c:v>
                </c:pt>
                <c:pt idx="44">
                  <c:v>2.2999999999999998</c:v>
                </c:pt>
                <c:pt idx="45">
                  <c:v>2.3499999999999996</c:v>
                </c:pt>
                <c:pt idx="46">
                  <c:v>2.3999999999999995</c:v>
                </c:pt>
                <c:pt idx="47">
                  <c:v>2.4499999999999993</c:v>
                </c:pt>
                <c:pt idx="48">
                  <c:v>2.4999999999999991</c:v>
                </c:pt>
                <c:pt idx="49">
                  <c:v>2.5499999999999989</c:v>
                </c:pt>
                <c:pt idx="50">
                  <c:v>2.5999999999999988</c:v>
                </c:pt>
                <c:pt idx="51">
                  <c:v>2.6499999999999986</c:v>
                </c:pt>
                <c:pt idx="52">
                  <c:v>2.6999999999999984</c:v>
                </c:pt>
                <c:pt idx="53">
                  <c:v>2.7499999999999982</c:v>
                </c:pt>
                <c:pt idx="54">
                  <c:v>2.799999999999998</c:v>
                </c:pt>
                <c:pt idx="55">
                  <c:v>2.8499999999999979</c:v>
                </c:pt>
                <c:pt idx="56">
                  <c:v>2.8999999999999977</c:v>
                </c:pt>
                <c:pt idx="57">
                  <c:v>2.9499999999999975</c:v>
                </c:pt>
                <c:pt idx="58">
                  <c:v>2.9999999999999973</c:v>
                </c:pt>
                <c:pt idx="59">
                  <c:v>3.0499999999999972</c:v>
                </c:pt>
                <c:pt idx="60">
                  <c:v>3.099999999999997</c:v>
                </c:pt>
                <c:pt idx="61">
                  <c:v>3.1499999999999968</c:v>
                </c:pt>
                <c:pt idx="62">
                  <c:v>3.1999999999999966</c:v>
                </c:pt>
                <c:pt idx="63">
                  <c:v>3.2499999999999964</c:v>
                </c:pt>
                <c:pt idx="64">
                  <c:v>3.2999999999999963</c:v>
                </c:pt>
                <c:pt idx="65">
                  <c:v>3.3499999999999961</c:v>
                </c:pt>
                <c:pt idx="66">
                  <c:v>3.3999999999999959</c:v>
                </c:pt>
                <c:pt idx="67">
                  <c:v>3.4499999999999957</c:v>
                </c:pt>
                <c:pt idx="68">
                  <c:v>3.4999999999999956</c:v>
                </c:pt>
                <c:pt idx="69">
                  <c:v>3.5499999999999954</c:v>
                </c:pt>
                <c:pt idx="70">
                  <c:v>3.5999999999999952</c:v>
                </c:pt>
                <c:pt idx="71">
                  <c:v>3.649999999999995</c:v>
                </c:pt>
                <c:pt idx="72">
                  <c:v>3.6999999999999948</c:v>
                </c:pt>
                <c:pt idx="73">
                  <c:v>3.7499999999999947</c:v>
                </c:pt>
                <c:pt idx="74">
                  <c:v>3.7999999999999945</c:v>
                </c:pt>
                <c:pt idx="75">
                  <c:v>3.8499999999999943</c:v>
                </c:pt>
                <c:pt idx="76">
                  <c:v>3.8999999999999941</c:v>
                </c:pt>
                <c:pt idx="77">
                  <c:v>3.949999999999994</c:v>
                </c:pt>
                <c:pt idx="78">
                  <c:v>3.9999999999999938</c:v>
                </c:pt>
              </c:numCache>
            </c:numRef>
          </c:xVal>
          <c:yVal>
            <c:numRef>
              <c:f>BS!$S$11:$S$89</c:f>
              <c:numCache>
                <c:formatCode>"$"#,##0.00</c:formatCode>
                <c:ptCount val="79"/>
                <c:pt idx="0">
                  <c:v>3.9877611676744973</c:v>
                </c:pt>
                <c:pt idx="1">
                  <c:v>5.9785288105789425</c:v>
                </c:pt>
                <c:pt idx="2">
                  <c:v>7.9655674554057976</c:v>
                </c:pt>
                <c:pt idx="3">
                  <c:v>9.9476449660225832</c:v>
                </c:pt>
                <c:pt idx="4">
                  <c:v>11.923538474048506</c:v>
                </c:pt>
                <c:pt idx="5">
                  <c:v>13.892036641534755</c:v>
                </c:pt>
                <c:pt idx="6">
                  <c:v>15.851941887820619</c:v>
                </c:pt>
                <c:pt idx="7">
                  <c:v>17.802072573745932</c:v>
                </c:pt>
                <c:pt idx="8">
                  <c:v>19.74126513658474</c:v>
                </c:pt>
                <c:pt idx="9">
                  <c:v>21.668376169278954</c:v>
                </c:pt>
                <c:pt idx="10">
                  <c:v>23.582284437790513</c:v>
                </c:pt>
                <c:pt idx="11">
                  <c:v>25.481892830656804</c:v>
                </c:pt>
                <c:pt idx="12">
                  <c:v>27.366130235123819</c:v>
                </c:pt>
                <c:pt idx="13">
                  <c:v>29.233953334544754</c:v>
                </c:pt>
                <c:pt idx="14">
                  <c:v>31.084348322064852</c:v>
                </c:pt>
                <c:pt idx="15">
                  <c:v>32.916332525966105</c:v>
                </c:pt>
                <c:pt idx="16">
                  <c:v>34.728955942416</c:v>
                </c:pt>
                <c:pt idx="17">
                  <c:v>36.521302671748202</c:v>
                </c:pt>
                <c:pt idx="18">
                  <c:v>38.292492254802625</c:v>
                </c:pt>
                <c:pt idx="19">
                  <c:v>40.041680906260837</c:v>
                </c:pt>
                <c:pt idx="20">
                  <c:v>41.768062642330733</c:v>
                </c:pt>
                <c:pt idx="21">
                  <c:v>43.470870300559881</c:v>
                </c:pt>
                <c:pt idx="22">
                  <c:v>45.149376449985297</c:v>
                </c:pt>
                <c:pt idx="23">
                  <c:v>46.802894190259899</c:v>
                </c:pt>
                <c:pt idx="24">
                  <c:v>48.430777838827062</c:v>
                </c:pt>
                <c:pt idx="25">
                  <c:v>50.032423505644601</c:v>
                </c:pt>
                <c:pt idx="26">
                  <c:v>51.607269555385415</c:v>
                </c:pt>
                <c:pt idx="27">
                  <c:v>53.154796957461016</c:v>
                </c:pt>
                <c:pt idx="28">
                  <c:v>54.674529524626358</c:v>
                </c:pt>
                <c:pt idx="29">
                  <c:v>56.166034041324522</c:v>
                </c:pt>
                <c:pt idx="30">
                  <c:v>57.628920283320674</c:v>
                </c:pt>
                <c:pt idx="31">
                  <c:v>59.062840930549498</c:v>
                </c:pt>
                <c:pt idx="32">
                  <c:v>60.467491375461542</c:v>
                </c:pt>
                <c:pt idx="33">
                  <c:v>61.842609429497891</c:v>
                </c:pt>
                <c:pt idx="34">
                  <c:v>63.187974930648117</c:v>
                </c:pt>
                <c:pt idx="35">
                  <c:v>64.50340925535356</c:v>
                </c:pt>
                <c:pt idx="36">
                  <c:v>65.788774738303658</c:v>
                </c:pt>
                <c:pt idx="37">
                  <c:v>67.043974003937961</c:v>
                </c:pt>
                <c:pt idx="38">
                  <c:v>68.268949213708609</c:v>
                </c:pt>
                <c:pt idx="39">
                  <c:v>69.46368123337794</c:v>
                </c:pt>
                <c:pt idx="40">
                  <c:v>70.628188724820816</c:v>
                </c:pt>
                <c:pt idx="41">
                  <c:v>71.762527166974223</c:v>
                </c:pt>
                <c:pt idx="42">
                  <c:v>72.866787810723466</c:v>
                </c:pt>
                <c:pt idx="43">
                  <c:v>73.94109657263823</c:v>
                </c:pt>
                <c:pt idx="44">
                  <c:v>74.985612872569945</c:v>
                </c:pt>
                <c:pt idx="45">
                  <c:v>76.000528420197483</c:v>
                </c:pt>
                <c:pt idx="46">
                  <c:v>76.986065955658333</c:v>
                </c:pt>
                <c:pt idx="47">
                  <c:v>77.942477949429744</c:v>
                </c:pt>
                <c:pt idx="48">
                  <c:v>78.870045266628935</c:v>
                </c:pt>
                <c:pt idx="49">
                  <c:v>79.769075800882803</c:v>
                </c:pt>
                <c:pt idx="50">
                  <c:v>80.639903082877908</c:v>
                </c:pt>
                <c:pt idx="51">
                  <c:v>81.482884868640994</c:v>
                </c:pt>
                <c:pt idx="52">
                  <c:v>82.298401712519563</c:v>
                </c:pt>
                <c:pt idx="53">
                  <c:v>83.08685552973283</c:v>
                </c:pt>
                <c:pt idx="54">
                  <c:v>83.848668153245754</c:v>
                </c:pt>
                <c:pt idx="55">
                  <c:v>84.584279889585588</c:v>
                </c:pt>
                <c:pt idx="56">
                  <c:v>85.294148078070307</c:v>
                </c:pt>
                <c:pt idx="57">
                  <c:v>85.97874565775534</c:v>
                </c:pt>
                <c:pt idx="58">
                  <c:v>86.638559746228353</c:v>
                </c:pt>
                <c:pt idx="59">
                  <c:v>87.274090234193437</c:v>
                </c:pt>
                <c:pt idx="60">
                  <c:v>87.88584839958817</c:v>
                </c:pt>
                <c:pt idx="61">
                  <c:v>88.474355544769338</c:v>
                </c:pt>
                <c:pt idx="62">
                  <c:v>89.040141660088381</c:v>
                </c:pt>
                <c:pt idx="63">
                  <c:v>89.583744116956055</c:v>
                </c:pt>
                <c:pt idx="64">
                  <c:v>90.105706393270353</c:v>
                </c:pt>
                <c:pt idx="65">
                  <c:v>90.606576833850809</c:v>
                </c:pt>
                <c:pt idx="66">
                  <c:v>91.086907448291356</c:v>
                </c:pt>
                <c:pt idx="67">
                  <c:v>91.547252748409477</c:v>
                </c:pt>
                <c:pt idx="68">
                  <c:v>91.988168627236547</c:v>
                </c:pt>
                <c:pt idx="69">
                  <c:v>92.41021128126215</c:v>
                </c:pt>
                <c:pt idx="70">
                  <c:v>92.813936177414803</c:v>
                </c:pt>
                <c:pt idx="71">
                  <c:v>93.199897066035476</c:v>
                </c:pt>
                <c:pt idx="72">
                  <c:v>93.568645040877229</c:v>
                </c:pt>
                <c:pt idx="73">
                  <c:v>93.920727646947697</c:v>
                </c:pt>
                <c:pt idx="74">
                  <c:v>94.256688036799602</c:v>
                </c:pt>
                <c:pt idx="75">
                  <c:v>94.577064175670031</c:v>
                </c:pt>
                <c:pt idx="76">
                  <c:v>94.882388095672241</c:v>
                </c:pt>
                <c:pt idx="77">
                  <c:v>95.173185199055013</c:v>
                </c:pt>
                <c:pt idx="78">
                  <c:v>95.449973610364111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40A-42C0-B956-423E0E2292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52385647"/>
        <c:axId val="1138069055"/>
      </c:scatterChart>
      <c:valAx>
        <c:axId val="1352385647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Volatility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38069055"/>
        <c:crosses val="autoZero"/>
        <c:crossBetween val="midCat"/>
        <c:majorUnit val="0.25"/>
      </c:valAx>
      <c:valAx>
        <c:axId val="11380690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5238564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986012002480515"/>
          <c:y val="0.10250932762129839"/>
          <c:w val="0.84220292230879379"/>
          <c:h val="0.73783335311700338"/>
        </c:manualLayout>
      </c:layout>
      <c:scatterChart>
        <c:scatterStyle val="lineMarker"/>
        <c:varyColors val="0"/>
        <c:ser>
          <c:idx val="0"/>
          <c:order val="0"/>
          <c:tx>
            <c:strRef>
              <c:f>BS!$Q$10</c:f>
              <c:strCache>
                <c:ptCount val="1"/>
                <c:pt idx="0">
                  <c:v>N(d2)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BS!$P$11:$P$89</c:f>
              <c:numCache>
                <c:formatCode>0%</c:formatCode>
                <c:ptCount val="79"/>
                <c:pt idx="0">
                  <c:v>0.1</c:v>
                </c:pt>
                <c:pt idx="1">
                  <c:v>0.15000000000000002</c:v>
                </c:pt>
                <c:pt idx="2">
                  <c:v>0.2</c:v>
                </c:pt>
                <c:pt idx="3">
                  <c:v>0.25</c:v>
                </c:pt>
                <c:pt idx="4">
                  <c:v>0.3</c:v>
                </c:pt>
                <c:pt idx="5">
                  <c:v>0.35</c:v>
                </c:pt>
                <c:pt idx="6">
                  <c:v>0.39999999999999997</c:v>
                </c:pt>
                <c:pt idx="7">
                  <c:v>0.44999999999999996</c:v>
                </c:pt>
                <c:pt idx="8">
                  <c:v>0.49999999999999994</c:v>
                </c:pt>
                <c:pt idx="9">
                  <c:v>0.54999999999999993</c:v>
                </c:pt>
                <c:pt idx="10">
                  <c:v>0.6</c:v>
                </c:pt>
                <c:pt idx="11">
                  <c:v>0.65</c:v>
                </c:pt>
                <c:pt idx="12">
                  <c:v>0.70000000000000007</c:v>
                </c:pt>
                <c:pt idx="13">
                  <c:v>0.75000000000000011</c:v>
                </c:pt>
                <c:pt idx="14">
                  <c:v>0.80000000000000016</c:v>
                </c:pt>
                <c:pt idx="15">
                  <c:v>0.8500000000000002</c:v>
                </c:pt>
                <c:pt idx="16">
                  <c:v>0.90000000000000024</c:v>
                </c:pt>
                <c:pt idx="17">
                  <c:v>0.95000000000000029</c:v>
                </c:pt>
                <c:pt idx="18">
                  <c:v>1.0000000000000002</c:v>
                </c:pt>
                <c:pt idx="19">
                  <c:v>1.0500000000000003</c:v>
                </c:pt>
                <c:pt idx="20">
                  <c:v>1.1000000000000003</c:v>
                </c:pt>
                <c:pt idx="21">
                  <c:v>1.1500000000000004</c:v>
                </c:pt>
                <c:pt idx="22">
                  <c:v>1.2000000000000004</c:v>
                </c:pt>
                <c:pt idx="23">
                  <c:v>1.2500000000000004</c:v>
                </c:pt>
                <c:pt idx="24">
                  <c:v>1.3000000000000005</c:v>
                </c:pt>
                <c:pt idx="25">
                  <c:v>1.3500000000000005</c:v>
                </c:pt>
                <c:pt idx="26">
                  <c:v>1.4000000000000006</c:v>
                </c:pt>
                <c:pt idx="27">
                  <c:v>1.4500000000000006</c:v>
                </c:pt>
                <c:pt idx="28">
                  <c:v>1.5000000000000007</c:v>
                </c:pt>
                <c:pt idx="29">
                  <c:v>1.5500000000000007</c:v>
                </c:pt>
                <c:pt idx="30">
                  <c:v>1.6000000000000008</c:v>
                </c:pt>
                <c:pt idx="31">
                  <c:v>1.6500000000000008</c:v>
                </c:pt>
                <c:pt idx="32">
                  <c:v>1.7000000000000008</c:v>
                </c:pt>
                <c:pt idx="33">
                  <c:v>1.7500000000000009</c:v>
                </c:pt>
                <c:pt idx="34">
                  <c:v>1.8000000000000009</c:v>
                </c:pt>
                <c:pt idx="35">
                  <c:v>1.850000000000001</c:v>
                </c:pt>
                <c:pt idx="36">
                  <c:v>1.900000000000001</c:v>
                </c:pt>
                <c:pt idx="37">
                  <c:v>1.9500000000000011</c:v>
                </c:pt>
                <c:pt idx="38">
                  <c:v>2.0000000000000009</c:v>
                </c:pt>
                <c:pt idx="39">
                  <c:v>2.0500000000000007</c:v>
                </c:pt>
                <c:pt idx="40">
                  <c:v>2.1000000000000005</c:v>
                </c:pt>
                <c:pt idx="41">
                  <c:v>2.1500000000000004</c:v>
                </c:pt>
                <c:pt idx="42">
                  <c:v>2.2000000000000002</c:v>
                </c:pt>
                <c:pt idx="43">
                  <c:v>2.25</c:v>
                </c:pt>
                <c:pt idx="44">
                  <c:v>2.2999999999999998</c:v>
                </c:pt>
                <c:pt idx="45">
                  <c:v>2.3499999999999996</c:v>
                </c:pt>
                <c:pt idx="46">
                  <c:v>2.3999999999999995</c:v>
                </c:pt>
                <c:pt idx="47">
                  <c:v>2.4499999999999993</c:v>
                </c:pt>
                <c:pt idx="48">
                  <c:v>2.4999999999999991</c:v>
                </c:pt>
                <c:pt idx="49">
                  <c:v>2.5499999999999989</c:v>
                </c:pt>
                <c:pt idx="50">
                  <c:v>2.5999999999999988</c:v>
                </c:pt>
                <c:pt idx="51">
                  <c:v>2.6499999999999986</c:v>
                </c:pt>
                <c:pt idx="52">
                  <c:v>2.6999999999999984</c:v>
                </c:pt>
                <c:pt idx="53">
                  <c:v>2.7499999999999982</c:v>
                </c:pt>
                <c:pt idx="54">
                  <c:v>2.799999999999998</c:v>
                </c:pt>
                <c:pt idx="55">
                  <c:v>2.8499999999999979</c:v>
                </c:pt>
                <c:pt idx="56">
                  <c:v>2.8999999999999977</c:v>
                </c:pt>
                <c:pt idx="57">
                  <c:v>2.9499999999999975</c:v>
                </c:pt>
                <c:pt idx="58">
                  <c:v>2.9999999999999973</c:v>
                </c:pt>
                <c:pt idx="59">
                  <c:v>3.0499999999999972</c:v>
                </c:pt>
                <c:pt idx="60">
                  <c:v>3.099999999999997</c:v>
                </c:pt>
                <c:pt idx="61">
                  <c:v>3.1499999999999968</c:v>
                </c:pt>
                <c:pt idx="62">
                  <c:v>3.1999999999999966</c:v>
                </c:pt>
                <c:pt idx="63">
                  <c:v>3.2499999999999964</c:v>
                </c:pt>
                <c:pt idx="64">
                  <c:v>3.2999999999999963</c:v>
                </c:pt>
                <c:pt idx="65">
                  <c:v>3.3499999999999961</c:v>
                </c:pt>
                <c:pt idx="66">
                  <c:v>3.3999999999999959</c:v>
                </c:pt>
                <c:pt idx="67">
                  <c:v>3.4499999999999957</c:v>
                </c:pt>
                <c:pt idx="68">
                  <c:v>3.4999999999999956</c:v>
                </c:pt>
                <c:pt idx="69">
                  <c:v>3.5499999999999954</c:v>
                </c:pt>
                <c:pt idx="70">
                  <c:v>3.5999999999999952</c:v>
                </c:pt>
                <c:pt idx="71">
                  <c:v>3.649999999999995</c:v>
                </c:pt>
                <c:pt idx="72">
                  <c:v>3.6999999999999948</c:v>
                </c:pt>
                <c:pt idx="73">
                  <c:v>3.7499999999999947</c:v>
                </c:pt>
                <c:pt idx="74">
                  <c:v>3.7999999999999945</c:v>
                </c:pt>
                <c:pt idx="75">
                  <c:v>3.8499999999999943</c:v>
                </c:pt>
                <c:pt idx="76">
                  <c:v>3.8999999999999941</c:v>
                </c:pt>
                <c:pt idx="77">
                  <c:v>3.949999999999994</c:v>
                </c:pt>
                <c:pt idx="78">
                  <c:v>3.9999999999999938</c:v>
                </c:pt>
              </c:numCache>
            </c:numRef>
          </c:xVal>
          <c:yVal>
            <c:numRef>
              <c:f>BS!$Q$11:$Q$89</c:f>
              <c:numCache>
                <c:formatCode>0.0%</c:formatCode>
                <c:ptCount val="79"/>
                <c:pt idx="0">
                  <c:v>0.48006119416162751</c:v>
                </c:pt>
                <c:pt idx="1">
                  <c:v>0.47010735594710523</c:v>
                </c:pt>
                <c:pt idx="2">
                  <c:v>0.46017216272297101</c:v>
                </c:pt>
                <c:pt idx="3">
                  <c:v>0.45026177516988708</c:v>
                </c:pt>
                <c:pt idx="4">
                  <c:v>0.4403823076297575</c:v>
                </c:pt>
                <c:pt idx="5">
                  <c:v>0.43053981679232634</c:v>
                </c:pt>
                <c:pt idx="6">
                  <c:v>0.42074029056089696</c:v>
                </c:pt>
                <c:pt idx="7">
                  <c:v>0.41098963713127035</c:v>
                </c:pt>
                <c:pt idx="8">
                  <c:v>0.4012936743170763</c:v>
                </c:pt>
                <c:pt idx="9">
                  <c:v>0.39165811915360521</c:v>
                </c:pt>
                <c:pt idx="10">
                  <c:v>0.38208857781104733</c:v>
                </c:pt>
                <c:pt idx="11">
                  <c:v>0.37259053584671598</c:v>
                </c:pt>
                <c:pt idx="12">
                  <c:v>0.3631693488243809</c:v>
                </c:pt>
                <c:pt idx="13">
                  <c:v>0.35383023332727614</c:v>
                </c:pt>
                <c:pt idx="14">
                  <c:v>0.34457825838967576</c:v>
                </c:pt>
                <c:pt idx="15">
                  <c:v>0.33541833737016946</c:v>
                </c:pt>
                <c:pt idx="16">
                  <c:v>0.32635522028791997</c:v>
                </c:pt>
                <c:pt idx="17">
                  <c:v>0.31739348664125899</c:v>
                </c:pt>
                <c:pt idx="18">
                  <c:v>0.30853753872598688</c:v>
                </c:pt>
                <c:pt idx="19">
                  <c:v>0.29979159546869583</c:v>
                </c:pt>
                <c:pt idx="20">
                  <c:v>0.29115968678834631</c:v>
                </c:pt>
                <c:pt idx="21">
                  <c:v>0.28264564849720053</c:v>
                </c:pt>
                <c:pt idx="22">
                  <c:v>0.27425311775007349</c:v>
                </c:pt>
                <c:pt idx="23">
                  <c:v>0.26598552904870043</c:v>
                </c:pt>
                <c:pt idx="24">
                  <c:v>0.25784611080586461</c:v>
                </c:pt>
                <c:pt idx="25">
                  <c:v>0.24983788247177691</c:v>
                </c:pt>
                <c:pt idx="26">
                  <c:v>0.24196365222307287</c:v>
                </c:pt>
                <c:pt idx="27">
                  <c:v>0.23422601521269476</c:v>
                </c:pt>
                <c:pt idx="28">
                  <c:v>0.22662735237686801</c:v>
                </c:pt>
                <c:pt idx="29">
                  <c:v>0.21916982979337732</c:v>
                </c:pt>
                <c:pt idx="30">
                  <c:v>0.21185539858339655</c:v>
                </c:pt>
                <c:pt idx="31">
                  <c:v>0.20468579534725251</c:v>
                </c:pt>
                <c:pt idx="32">
                  <c:v>0.19766254312269221</c:v>
                </c:pt>
                <c:pt idx="33">
                  <c:v>0.19078695285251049</c:v>
                </c:pt>
                <c:pt idx="34">
                  <c:v>0.18406012534675936</c:v>
                </c:pt>
                <c:pt idx="35">
                  <c:v>0.17748295372323214</c:v>
                </c:pt>
                <c:pt idx="36">
                  <c:v>0.17105612630848166</c:v>
                </c:pt>
                <c:pt idx="37">
                  <c:v>0.16478012998031025</c:v>
                </c:pt>
                <c:pt idx="38">
                  <c:v>0.15865525393145691</c:v>
                </c:pt>
                <c:pt idx="39">
                  <c:v>0.15268159383311028</c:v>
                </c:pt>
                <c:pt idx="40">
                  <c:v>0.14685905637589591</c:v>
                </c:pt>
                <c:pt idx="41">
                  <c:v>0.14118736416512892</c:v>
                </c:pt>
                <c:pt idx="42">
                  <c:v>0.13566606094638264</c:v>
                </c:pt>
                <c:pt idx="43">
                  <c:v>0.13029451713680881</c:v>
                </c:pt>
                <c:pt idx="44">
                  <c:v>0.12507193563715024</c:v>
                </c:pt>
                <c:pt idx="45">
                  <c:v>0.1199973578990125</c:v>
                </c:pt>
                <c:pt idx="46">
                  <c:v>0.1150696702217083</c:v>
                </c:pt>
                <c:pt idx="47">
                  <c:v>0.11028761025285129</c:v>
                </c:pt>
                <c:pt idx="48">
                  <c:v>0.10564977366685532</c:v>
                </c:pt>
                <c:pt idx="49">
                  <c:v>0.10115462099558593</c:v>
                </c:pt>
                <c:pt idx="50">
                  <c:v>9.6800484585610427E-2</c:v>
                </c:pt>
                <c:pt idx="51">
                  <c:v>9.2585575656795011E-2</c:v>
                </c:pt>
                <c:pt idx="52">
                  <c:v>8.850799143740215E-2</c:v>
                </c:pt>
                <c:pt idx="53">
                  <c:v>8.4565722351335873E-2</c:v>
                </c:pt>
                <c:pt idx="54">
                  <c:v>8.0756659233771164E-2</c:v>
                </c:pt>
                <c:pt idx="55">
                  <c:v>7.7078600552071996E-2</c:v>
                </c:pt>
                <c:pt idx="56">
                  <c:v>7.3529259609648498E-2</c:v>
                </c:pt>
                <c:pt idx="57">
                  <c:v>7.0106271711223286E-2</c:v>
                </c:pt>
                <c:pt idx="58">
                  <c:v>6.6807201268858196E-2</c:v>
                </c:pt>
                <c:pt idx="59">
                  <c:v>6.3629548829032823E-2</c:v>
                </c:pt>
                <c:pt idx="60">
                  <c:v>6.0570758002059175E-2</c:v>
                </c:pt>
                <c:pt idx="61">
                  <c:v>5.7628222276153315E-2</c:v>
                </c:pt>
                <c:pt idx="62">
                  <c:v>5.4799291699558182E-2</c:v>
                </c:pt>
                <c:pt idx="63">
                  <c:v>5.2081279415219728E-2</c:v>
                </c:pt>
                <c:pt idx="64">
                  <c:v>4.9471468033648276E-2</c:v>
                </c:pt>
                <c:pt idx="65">
                  <c:v>4.6967115830745983E-2</c:v>
                </c:pt>
                <c:pt idx="66">
                  <c:v>4.4565462758543194E-2</c:v>
                </c:pt>
                <c:pt idx="67">
                  <c:v>4.2263736257952648E-2</c:v>
                </c:pt>
                <c:pt idx="68">
                  <c:v>4.0059156863817259E-2</c:v>
                </c:pt>
                <c:pt idx="69">
                  <c:v>3.7948943593689312E-2</c:v>
                </c:pt>
                <c:pt idx="70">
                  <c:v>3.5930319112925983E-2</c:v>
                </c:pt>
                <c:pt idx="71">
                  <c:v>3.400051466982261E-2</c:v>
                </c:pt>
                <c:pt idx="72">
                  <c:v>3.2156774795613886E-2</c:v>
                </c:pt>
                <c:pt idx="73">
                  <c:v>3.0396361765261563E-2</c:v>
                </c:pt>
                <c:pt idx="74">
                  <c:v>2.8716559816001963E-2</c:v>
                </c:pt>
                <c:pt idx="75">
                  <c:v>2.7114679121649832E-2</c:v>
                </c:pt>
                <c:pt idx="76">
                  <c:v>2.5588059521638801E-2</c:v>
                </c:pt>
                <c:pt idx="77">
                  <c:v>2.4134074004724931E-2</c:v>
                </c:pt>
                <c:pt idx="78">
                  <c:v>2.2750131948179372E-2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658-4253-8301-4E08930C30E3}"/>
            </c:ext>
          </c:extLst>
        </c:ser>
        <c:ser>
          <c:idx val="1"/>
          <c:order val="1"/>
          <c:tx>
            <c:strRef>
              <c:f>BS!$R$10</c:f>
              <c:strCache>
                <c:ptCount val="1"/>
                <c:pt idx="0">
                  <c:v>Delta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BS!$P$11:$P$89</c:f>
              <c:numCache>
                <c:formatCode>0%</c:formatCode>
                <c:ptCount val="79"/>
                <c:pt idx="0">
                  <c:v>0.1</c:v>
                </c:pt>
                <c:pt idx="1">
                  <c:v>0.15000000000000002</c:v>
                </c:pt>
                <c:pt idx="2">
                  <c:v>0.2</c:v>
                </c:pt>
                <c:pt idx="3">
                  <c:v>0.25</c:v>
                </c:pt>
                <c:pt idx="4">
                  <c:v>0.3</c:v>
                </c:pt>
                <c:pt idx="5">
                  <c:v>0.35</c:v>
                </c:pt>
                <c:pt idx="6">
                  <c:v>0.39999999999999997</c:v>
                </c:pt>
                <c:pt idx="7">
                  <c:v>0.44999999999999996</c:v>
                </c:pt>
                <c:pt idx="8">
                  <c:v>0.49999999999999994</c:v>
                </c:pt>
                <c:pt idx="9">
                  <c:v>0.54999999999999993</c:v>
                </c:pt>
                <c:pt idx="10">
                  <c:v>0.6</c:v>
                </c:pt>
                <c:pt idx="11">
                  <c:v>0.65</c:v>
                </c:pt>
                <c:pt idx="12">
                  <c:v>0.70000000000000007</c:v>
                </c:pt>
                <c:pt idx="13">
                  <c:v>0.75000000000000011</c:v>
                </c:pt>
                <c:pt idx="14">
                  <c:v>0.80000000000000016</c:v>
                </c:pt>
                <c:pt idx="15">
                  <c:v>0.8500000000000002</c:v>
                </c:pt>
                <c:pt idx="16">
                  <c:v>0.90000000000000024</c:v>
                </c:pt>
                <c:pt idx="17">
                  <c:v>0.95000000000000029</c:v>
                </c:pt>
                <c:pt idx="18">
                  <c:v>1.0000000000000002</c:v>
                </c:pt>
                <c:pt idx="19">
                  <c:v>1.0500000000000003</c:v>
                </c:pt>
                <c:pt idx="20">
                  <c:v>1.1000000000000003</c:v>
                </c:pt>
                <c:pt idx="21">
                  <c:v>1.1500000000000004</c:v>
                </c:pt>
                <c:pt idx="22">
                  <c:v>1.2000000000000004</c:v>
                </c:pt>
                <c:pt idx="23">
                  <c:v>1.2500000000000004</c:v>
                </c:pt>
                <c:pt idx="24">
                  <c:v>1.3000000000000005</c:v>
                </c:pt>
                <c:pt idx="25">
                  <c:v>1.3500000000000005</c:v>
                </c:pt>
                <c:pt idx="26">
                  <c:v>1.4000000000000006</c:v>
                </c:pt>
                <c:pt idx="27">
                  <c:v>1.4500000000000006</c:v>
                </c:pt>
                <c:pt idx="28">
                  <c:v>1.5000000000000007</c:v>
                </c:pt>
                <c:pt idx="29">
                  <c:v>1.5500000000000007</c:v>
                </c:pt>
                <c:pt idx="30">
                  <c:v>1.6000000000000008</c:v>
                </c:pt>
                <c:pt idx="31">
                  <c:v>1.6500000000000008</c:v>
                </c:pt>
                <c:pt idx="32">
                  <c:v>1.7000000000000008</c:v>
                </c:pt>
                <c:pt idx="33">
                  <c:v>1.7500000000000009</c:v>
                </c:pt>
                <c:pt idx="34">
                  <c:v>1.8000000000000009</c:v>
                </c:pt>
                <c:pt idx="35">
                  <c:v>1.850000000000001</c:v>
                </c:pt>
                <c:pt idx="36">
                  <c:v>1.900000000000001</c:v>
                </c:pt>
                <c:pt idx="37">
                  <c:v>1.9500000000000011</c:v>
                </c:pt>
                <c:pt idx="38">
                  <c:v>2.0000000000000009</c:v>
                </c:pt>
                <c:pt idx="39">
                  <c:v>2.0500000000000007</c:v>
                </c:pt>
                <c:pt idx="40">
                  <c:v>2.1000000000000005</c:v>
                </c:pt>
                <c:pt idx="41">
                  <c:v>2.1500000000000004</c:v>
                </c:pt>
                <c:pt idx="42">
                  <c:v>2.2000000000000002</c:v>
                </c:pt>
                <c:pt idx="43">
                  <c:v>2.25</c:v>
                </c:pt>
                <c:pt idx="44">
                  <c:v>2.2999999999999998</c:v>
                </c:pt>
                <c:pt idx="45">
                  <c:v>2.3499999999999996</c:v>
                </c:pt>
                <c:pt idx="46">
                  <c:v>2.3999999999999995</c:v>
                </c:pt>
                <c:pt idx="47">
                  <c:v>2.4499999999999993</c:v>
                </c:pt>
                <c:pt idx="48">
                  <c:v>2.4999999999999991</c:v>
                </c:pt>
                <c:pt idx="49">
                  <c:v>2.5499999999999989</c:v>
                </c:pt>
                <c:pt idx="50">
                  <c:v>2.5999999999999988</c:v>
                </c:pt>
                <c:pt idx="51">
                  <c:v>2.6499999999999986</c:v>
                </c:pt>
                <c:pt idx="52">
                  <c:v>2.6999999999999984</c:v>
                </c:pt>
                <c:pt idx="53">
                  <c:v>2.7499999999999982</c:v>
                </c:pt>
                <c:pt idx="54">
                  <c:v>2.799999999999998</c:v>
                </c:pt>
                <c:pt idx="55">
                  <c:v>2.8499999999999979</c:v>
                </c:pt>
                <c:pt idx="56">
                  <c:v>2.8999999999999977</c:v>
                </c:pt>
                <c:pt idx="57">
                  <c:v>2.9499999999999975</c:v>
                </c:pt>
                <c:pt idx="58">
                  <c:v>2.9999999999999973</c:v>
                </c:pt>
                <c:pt idx="59">
                  <c:v>3.0499999999999972</c:v>
                </c:pt>
                <c:pt idx="60">
                  <c:v>3.099999999999997</c:v>
                </c:pt>
                <c:pt idx="61">
                  <c:v>3.1499999999999968</c:v>
                </c:pt>
                <c:pt idx="62">
                  <c:v>3.1999999999999966</c:v>
                </c:pt>
                <c:pt idx="63">
                  <c:v>3.2499999999999964</c:v>
                </c:pt>
                <c:pt idx="64">
                  <c:v>3.2999999999999963</c:v>
                </c:pt>
                <c:pt idx="65">
                  <c:v>3.3499999999999961</c:v>
                </c:pt>
                <c:pt idx="66">
                  <c:v>3.3999999999999959</c:v>
                </c:pt>
                <c:pt idx="67">
                  <c:v>3.4499999999999957</c:v>
                </c:pt>
                <c:pt idx="68">
                  <c:v>3.4999999999999956</c:v>
                </c:pt>
                <c:pt idx="69">
                  <c:v>3.5499999999999954</c:v>
                </c:pt>
                <c:pt idx="70">
                  <c:v>3.5999999999999952</c:v>
                </c:pt>
                <c:pt idx="71">
                  <c:v>3.649999999999995</c:v>
                </c:pt>
                <c:pt idx="72">
                  <c:v>3.6999999999999948</c:v>
                </c:pt>
                <c:pt idx="73">
                  <c:v>3.7499999999999947</c:v>
                </c:pt>
                <c:pt idx="74">
                  <c:v>3.7999999999999945</c:v>
                </c:pt>
                <c:pt idx="75">
                  <c:v>3.8499999999999943</c:v>
                </c:pt>
                <c:pt idx="76">
                  <c:v>3.8999999999999941</c:v>
                </c:pt>
                <c:pt idx="77">
                  <c:v>3.949999999999994</c:v>
                </c:pt>
                <c:pt idx="78">
                  <c:v>3.9999999999999938</c:v>
                </c:pt>
              </c:numCache>
            </c:numRef>
          </c:xVal>
          <c:yVal>
            <c:numRef>
              <c:f>BS!$R$11:$R$89</c:f>
              <c:numCache>
                <c:formatCode>0.00</c:formatCode>
                <c:ptCount val="79"/>
                <c:pt idx="0">
                  <c:v>0.51993880583837249</c:v>
                </c:pt>
                <c:pt idx="1">
                  <c:v>0.52989264405289482</c:v>
                </c:pt>
                <c:pt idx="2">
                  <c:v>0.53982783727702899</c:v>
                </c:pt>
                <c:pt idx="3">
                  <c:v>0.54973822483011292</c:v>
                </c:pt>
                <c:pt idx="4">
                  <c:v>0.5596176923702425</c:v>
                </c:pt>
                <c:pt idx="5">
                  <c:v>0.56946018320767366</c:v>
                </c:pt>
                <c:pt idx="6">
                  <c:v>0.57925970943910299</c:v>
                </c:pt>
                <c:pt idx="7">
                  <c:v>0.58901036286872965</c:v>
                </c:pt>
                <c:pt idx="8">
                  <c:v>0.5987063256829237</c:v>
                </c:pt>
                <c:pt idx="9">
                  <c:v>0.60834188084639473</c:v>
                </c:pt>
                <c:pt idx="10">
                  <c:v>0.61791142218895267</c:v>
                </c:pt>
                <c:pt idx="11">
                  <c:v>0.62740946415328402</c:v>
                </c:pt>
                <c:pt idx="12">
                  <c:v>0.6368306511756191</c:v>
                </c:pt>
                <c:pt idx="13">
                  <c:v>0.64616976667272386</c:v>
                </c:pt>
                <c:pt idx="14">
                  <c:v>0.65542174161032429</c:v>
                </c:pt>
                <c:pt idx="15">
                  <c:v>0.66458166262983054</c:v>
                </c:pt>
                <c:pt idx="16">
                  <c:v>0.67364477971208003</c:v>
                </c:pt>
                <c:pt idx="17">
                  <c:v>0.68260651335874101</c:v>
                </c:pt>
                <c:pt idx="18">
                  <c:v>0.69146246127401312</c:v>
                </c:pt>
                <c:pt idx="19">
                  <c:v>0.70020840453130417</c:v>
                </c:pt>
                <c:pt idx="20">
                  <c:v>0.70884031321165364</c:v>
                </c:pt>
                <c:pt idx="21">
                  <c:v>0.71735435150279947</c:v>
                </c:pt>
                <c:pt idx="22">
                  <c:v>0.72574688224992645</c:v>
                </c:pt>
                <c:pt idx="23">
                  <c:v>0.73401447095129957</c:v>
                </c:pt>
                <c:pt idx="24">
                  <c:v>0.74215388919413539</c:v>
                </c:pt>
                <c:pt idx="25">
                  <c:v>0.75016211752822315</c:v>
                </c:pt>
                <c:pt idx="26">
                  <c:v>0.75803634777692719</c:v>
                </c:pt>
                <c:pt idx="27">
                  <c:v>0.7657739847873053</c:v>
                </c:pt>
                <c:pt idx="28">
                  <c:v>0.77337264762313185</c:v>
                </c:pt>
                <c:pt idx="29">
                  <c:v>0.78083017020662271</c:v>
                </c:pt>
                <c:pt idx="30">
                  <c:v>0.78814460141660347</c:v>
                </c:pt>
                <c:pt idx="31">
                  <c:v>0.79531420465274749</c:v>
                </c:pt>
                <c:pt idx="32">
                  <c:v>0.80233745687730784</c:v>
                </c:pt>
                <c:pt idx="33">
                  <c:v>0.80921304714748954</c:v>
                </c:pt>
                <c:pt idx="34">
                  <c:v>0.81593987465324069</c:v>
                </c:pt>
                <c:pt idx="35">
                  <c:v>0.82251704627676792</c:v>
                </c:pt>
                <c:pt idx="36">
                  <c:v>0.82894387369151834</c:v>
                </c:pt>
                <c:pt idx="37">
                  <c:v>0.83521987001968978</c:v>
                </c:pt>
                <c:pt idx="38">
                  <c:v>0.84134474606854304</c:v>
                </c:pt>
                <c:pt idx="39">
                  <c:v>0.84731840616688969</c:v>
                </c:pt>
                <c:pt idx="40">
                  <c:v>0.85314094362410409</c:v>
                </c:pt>
                <c:pt idx="41">
                  <c:v>0.85881263583487111</c:v>
                </c:pt>
                <c:pt idx="42">
                  <c:v>0.86433393905361733</c:v>
                </c:pt>
                <c:pt idx="43">
                  <c:v>0.86970548286319116</c:v>
                </c:pt>
                <c:pt idx="44">
                  <c:v>0.87492806436284976</c:v>
                </c:pt>
                <c:pt idx="45">
                  <c:v>0.88000264210098744</c:v>
                </c:pt>
                <c:pt idx="46">
                  <c:v>0.88493032977829167</c:v>
                </c:pt>
                <c:pt idx="47">
                  <c:v>0.88971238974714872</c:v>
                </c:pt>
                <c:pt idx="48">
                  <c:v>0.89435022633314465</c:v>
                </c:pt>
                <c:pt idx="49">
                  <c:v>0.89884537900441408</c:v>
                </c:pt>
                <c:pt idx="50">
                  <c:v>0.90319951541438959</c:v>
                </c:pt>
                <c:pt idx="51">
                  <c:v>0.90741442434320496</c:v>
                </c:pt>
                <c:pt idx="52">
                  <c:v>0.91149200856259782</c:v>
                </c:pt>
                <c:pt idx="53">
                  <c:v>0.91543427764866414</c:v>
                </c:pt>
                <c:pt idx="54">
                  <c:v>0.91924334076622882</c:v>
                </c:pt>
                <c:pt idx="55">
                  <c:v>0.92292139944792795</c:v>
                </c:pt>
                <c:pt idx="56">
                  <c:v>0.92647074039035149</c:v>
                </c:pt>
                <c:pt idx="57">
                  <c:v>0.9298937282887767</c:v>
                </c:pt>
                <c:pt idx="58">
                  <c:v>0.9331927987311418</c:v>
                </c:pt>
                <c:pt idx="59">
                  <c:v>0.93637045117096718</c:v>
                </c:pt>
                <c:pt idx="60">
                  <c:v>0.93942924199794087</c:v>
                </c:pt>
                <c:pt idx="61">
                  <c:v>0.94237177772384673</c:v>
                </c:pt>
                <c:pt idx="62">
                  <c:v>0.94520070830044178</c:v>
                </c:pt>
                <c:pt idx="63">
                  <c:v>0.94791872058478033</c:v>
                </c:pt>
                <c:pt idx="64">
                  <c:v>0.95052853196635168</c:v>
                </c:pt>
                <c:pt idx="65">
                  <c:v>0.95303288416925402</c:v>
                </c:pt>
                <c:pt idx="66">
                  <c:v>0.95543453724145677</c:v>
                </c:pt>
                <c:pt idx="67">
                  <c:v>0.95773626374204734</c:v>
                </c:pt>
                <c:pt idx="68">
                  <c:v>0.95994084313618278</c:v>
                </c:pt>
                <c:pt idx="69">
                  <c:v>0.96205105640631072</c:v>
                </c:pt>
                <c:pt idx="70">
                  <c:v>0.96406968088707401</c:v>
                </c:pt>
                <c:pt idx="71">
                  <c:v>0.96599948533017743</c:v>
                </c:pt>
                <c:pt idx="72">
                  <c:v>0.96784322520438615</c:v>
                </c:pt>
                <c:pt idx="73">
                  <c:v>0.9696036382347385</c:v>
                </c:pt>
                <c:pt idx="74">
                  <c:v>0.97128344018399804</c:v>
                </c:pt>
                <c:pt idx="75">
                  <c:v>0.97288532087835011</c:v>
                </c:pt>
                <c:pt idx="76">
                  <c:v>0.97441194047836122</c:v>
                </c:pt>
                <c:pt idx="77">
                  <c:v>0.97586592599527511</c:v>
                </c:pt>
                <c:pt idx="78">
                  <c:v>0.97724986805182068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658-4253-8301-4E08930C3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52385647"/>
        <c:axId val="1138069055"/>
      </c:scatterChart>
      <c:valAx>
        <c:axId val="1352385647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Volatility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38069055"/>
        <c:crosses val="autoZero"/>
        <c:crossBetween val="midCat"/>
        <c:majorUnit val="0.25"/>
      </c:valAx>
      <c:valAx>
        <c:axId val="11380690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5238564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37339733184158869"/>
          <c:y val="2.8889672882875021E-2"/>
          <c:w val="0.21481201467805205"/>
          <c:h val="4.431969473314586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Delta vs Volatility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008576763822038"/>
          <c:y val="0.10429288404806748"/>
          <c:w val="0.85197729583919002"/>
          <c:h val="0.73604994111012967"/>
        </c:manualLayout>
      </c:layout>
      <c:scatterChart>
        <c:scatterStyle val="lineMarker"/>
        <c:varyColors val="0"/>
        <c:ser>
          <c:idx val="0"/>
          <c:order val="0"/>
          <c:tx>
            <c:strRef>
              <c:f>'Delta Hedged Sim'!$W$12</c:f>
              <c:strCache>
                <c:ptCount val="1"/>
              </c:strCache>
            </c:strRef>
          </c:tx>
          <c:spPr>
            <a:ln w="25400" cap="rnd">
              <a:solidFill>
                <a:schemeClr val="bg1"/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rgbClr val="FFC000"/>
              </a:solidFill>
              <a:ln w="9525">
                <a:solidFill>
                  <a:schemeClr val="bg1"/>
                </a:solidFill>
              </a:ln>
              <a:effectLst/>
            </c:spPr>
          </c:marker>
          <c:xVal>
            <c:numRef>
              <c:f>'Delta Hedged Sim'!$U$13:$U$91</c:f>
              <c:numCache>
                <c:formatCode>0%</c:formatCode>
                <c:ptCount val="79"/>
              </c:numCache>
            </c:numRef>
          </c:xVal>
          <c:yVal>
            <c:numRef>
              <c:f>'Delta Hedged Sim'!$W$13:$W$91</c:f>
              <c:numCache>
                <c:formatCode>"$"#,##0.00</c:formatCode>
                <c:ptCount val="7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E65-46AE-ACCF-E94529518C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52385647"/>
        <c:axId val="1138069055"/>
      </c:scatterChart>
      <c:valAx>
        <c:axId val="1352385647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Volatility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38069055"/>
        <c:crosses val="autoZero"/>
        <c:crossBetween val="midCat"/>
        <c:majorUnit val="0.25"/>
      </c:valAx>
      <c:valAx>
        <c:axId val="1138069055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5238564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986012002480515"/>
          <c:y val="0.10250932762129839"/>
          <c:w val="0.84220292230879379"/>
          <c:h val="0.73783335311700338"/>
        </c:manualLayout>
      </c:layout>
      <c:scatterChart>
        <c:scatterStyle val="lineMarker"/>
        <c:varyColors val="0"/>
        <c:ser>
          <c:idx val="0"/>
          <c:order val="0"/>
          <c:tx>
            <c:strRef>
              <c:f>'Delta Hedged Sim'!$V$12</c:f>
              <c:strCache>
                <c:ptCount val="1"/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'Delta Hedged Sim'!$U$13:$U$91</c:f>
              <c:numCache>
                <c:formatCode>0%</c:formatCode>
                <c:ptCount val="79"/>
              </c:numCache>
            </c:numRef>
          </c:xVal>
          <c:yVal>
            <c:numRef>
              <c:f>'Delta Hedged Sim'!$V$13:$V$91</c:f>
              <c:numCache>
                <c:formatCode>"$"#,##0.00</c:formatCode>
                <c:ptCount val="7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855-41C1-8C3C-FFF394B7FA9D}"/>
            </c:ext>
          </c:extLst>
        </c:ser>
        <c:ser>
          <c:idx val="1"/>
          <c:order val="1"/>
          <c:tx>
            <c:strRef>
              <c:f>'Delta Hedged Sim'!$W$12</c:f>
              <c:strCache>
                <c:ptCount val="1"/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'Delta Hedged Sim'!$U$13:$U$91</c:f>
              <c:numCache>
                <c:formatCode>0%</c:formatCode>
                <c:ptCount val="79"/>
              </c:numCache>
            </c:numRef>
          </c:xVal>
          <c:yVal>
            <c:numRef>
              <c:f>'Delta Hedged Sim'!$W$13:$W$91</c:f>
              <c:numCache>
                <c:formatCode>"$"#,##0.00</c:formatCode>
                <c:ptCount val="7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855-41C1-8C3C-FFF394B7FA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52385647"/>
        <c:axId val="1138069055"/>
      </c:scatterChart>
      <c:valAx>
        <c:axId val="1352385647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Volatility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38069055"/>
        <c:crosses val="autoZero"/>
        <c:crossBetween val="midCat"/>
        <c:majorUnit val="0.25"/>
      </c:valAx>
      <c:valAx>
        <c:axId val="11380690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5238564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37339733184158869"/>
          <c:y val="2.8889672882875021E-2"/>
          <c:w val="0.21481201467805205"/>
          <c:h val="4.431969473314586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B-S</a:t>
            </a:r>
            <a:r>
              <a:rPr lang="en-US" baseline="0"/>
              <a:t> Straddle vs Approximation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986012002480515"/>
          <c:y val="0.10250932762129839"/>
          <c:w val="0.84220292230879379"/>
          <c:h val="0.73783335311700338"/>
        </c:manualLayout>
      </c:layout>
      <c:scatterChart>
        <c:scatterStyle val="lineMarker"/>
        <c:varyColors val="0"/>
        <c:ser>
          <c:idx val="0"/>
          <c:order val="0"/>
          <c:tx>
            <c:strRef>
              <c:f>'Sheet10 (3)'!$R$10</c:f>
              <c:strCache>
                <c:ptCount val="1"/>
                <c:pt idx="0">
                  <c:v>Black-Scholes Straddle</c:v>
                </c:pt>
              </c:strCache>
            </c:strRef>
          </c:tx>
          <c:spPr>
            <a:ln w="2540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'Sheet10 (3)'!$Q$11:$Q$89</c:f>
              <c:numCache>
                <c:formatCode>0%</c:formatCode>
                <c:ptCount val="79"/>
                <c:pt idx="0">
                  <c:v>0.1</c:v>
                </c:pt>
                <c:pt idx="1">
                  <c:v>0.2</c:v>
                </c:pt>
                <c:pt idx="2">
                  <c:v>0.30000000000000004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0.79999999999999993</c:v>
                </c:pt>
                <c:pt idx="8">
                  <c:v>0.89999999999999991</c:v>
                </c:pt>
                <c:pt idx="9">
                  <c:v>0.99999999999999989</c:v>
                </c:pt>
                <c:pt idx="10">
                  <c:v>1.0999999999999999</c:v>
                </c:pt>
                <c:pt idx="11">
                  <c:v>1.2</c:v>
                </c:pt>
                <c:pt idx="12">
                  <c:v>1.3</c:v>
                </c:pt>
                <c:pt idx="13">
                  <c:v>1.4000000000000001</c:v>
                </c:pt>
                <c:pt idx="14">
                  <c:v>1.5000000000000002</c:v>
                </c:pt>
                <c:pt idx="15">
                  <c:v>1.6000000000000003</c:v>
                </c:pt>
                <c:pt idx="16">
                  <c:v>1.7000000000000004</c:v>
                </c:pt>
                <c:pt idx="17">
                  <c:v>1.8000000000000005</c:v>
                </c:pt>
                <c:pt idx="18">
                  <c:v>1.9000000000000006</c:v>
                </c:pt>
                <c:pt idx="19">
                  <c:v>2.0000000000000004</c:v>
                </c:pt>
                <c:pt idx="20">
                  <c:v>2.1000000000000005</c:v>
                </c:pt>
                <c:pt idx="21">
                  <c:v>2.2000000000000006</c:v>
                </c:pt>
                <c:pt idx="22">
                  <c:v>2.3000000000000007</c:v>
                </c:pt>
                <c:pt idx="23">
                  <c:v>2.4000000000000008</c:v>
                </c:pt>
                <c:pt idx="24">
                  <c:v>2.5000000000000009</c:v>
                </c:pt>
                <c:pt idx="25">
                  <c:v>2.600000000000001</c:v>
                </c:pt>
                <c:pt idx="26">
                  <c:v>2.7000000000000011</c:v>
                </c:pt>
                <c:pt idx="27">
                  <c:v>2.8000000000000012</c:v>
                </c:pt>
                <c:pt idx="28">
                  <c:v>2.9000000000000012</c:v>
                </c:pt>
                <c:pt idx="29">
                  <c:v>3.0000000000000013</c:v>
                </c:pt>
                <c:pt idx="30">
                  <c:v>3.1000000000000014</c:v>
                </c:pt>
                <c:pt idx="31">
                  <c:v>3.2000000000000015</c:v>
                </c:pt>
                <c:pt idx="32">
                  <c:v>3.3000000000000016</c:v>
                </c:pt>
                <c:pt idx="33">
                  <c:v>3.4000000000000017</c:v>
                </c:pt>
                <c:pt idx="34">
                  <c:v>3.5000000000000018</c:v>
                </c:pt>
                <c:pt idx="35">
                  <c:v>3.6000000000000019</c:v>
                </c:pt>
                <c:pt idx="36">
                  <c:v>3.700000000000002</c:v>
                </c:pt>
                <c:pt idx="37">
                  <c:v>3.800000000000002</c:v>
                </c:pt>
                <c:pt idx="38">
                  <c:v>3.9000000000000021</c:v>
                </c:pt>
                <c:pt idx="39">
                  <c:v>4.0000000000000018</c:v>
                </c:pt>
                <c:pt idx="40">
                  <c:v>4.1000000000000014</c:v>
                </c:pt>
                <c:pt idx="41">
                  <c:v>4.2000000000000011</c:v>
                </c:pt>
                <c:pt idx="42">
                  <c:v>4.3000000000000007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4.6999999999999993</c:v>
                </c:pt>
                <c:pt idx="47">
                  <c:v>4.7999999999999989</c:v>
                </c:pt>
                <c:pt idx="48">
                  <c:v>4.8999999999999986</c:v>
                </c:pt>
                <c:pt idx="49">
                  <c:v>4.9999999999999982</c:v>
                </c:pt>
                <c:pt idx="50">
                  <c:v>5.0999999999999979</c:v>
                </c:pt>
                <c:pt idx="51">
                  <c:v>5.1999999999999975</c:v>
                </c:pt>
                <c:pt idx="52">
                  <c:v>5.2999999999999972</c:v>
                </c:pt>
                <c:pt idx="53">
                  <c:v>5.3999999999999968</c:v>
                </c:pt>
                <c:pt idx="54">
                  <c:v>5.4999999999999964</c:v>
                </c:pt>
                <c:pt idx="55">
                  <c:v>5.5999999999999961</c:v>
                </c:pt>
                <c:pt idx="56">
                  <c:v>5.6999999999999957</c:v>
                </c:pt>
                <c:pt idx="57">
                  <c:v>5.7999999999999954</c:v>
                </c:pt>
                <c:pt idx="58">
                  <c:v>5.899999999999995</c:v>
                </c:pt>
                <c:pt idx="59">
                  <c:v>5.9999999999999947</c:v>
                </c:pt>
                <c:pt idx="60">
                  <c:v>6.0999999999999943</c:v>
                </c:pt>
                <c:pt idx="61">
                  <c:v>6.199999999999994</c:v>
                </c:pt>
                <c:pt idx="62">
                  <c:v>6.2999999999999936</c:v>
                </c:pt>
                <c:pt idx="63">
                  <c:v>6.3999999999999932</c:v>
                </c:pt>
                <c:pt idx="64">
                  <c:v>6.4999999999999929</c:v>
                </c:pt>
                <c:pt idx="65">
                  <c:v>6.5999999999999925</c:v>
                </c:pt>
                <c:pt idx="66">
                  <c:v>6.6999999999999922</c:v>
                </c:pt>
                <c:pt idx="67">
                  <c:v>6.7999999999999918</c:v>
                </c:pt>
                <c:pt idx="68">
                  <c:v>6.8999999999999915</c:v>
                </c:pt>
                <c:pt idx="69">
                  <c:v>6.9999999999999911</c:v>
                </c:pt>
                <c:pt idx="70">
                  <c:v>7.0999999999999908</c:v>
                </c:pt>
                <c:pt idx="71">
                  <c:v>7.1999999999999904</c:v>
                </c:pt>
                <c:pt idx="72">
                  <c:v>7.2999999999999901</c:v>
                </c:pt>
                <c:pt idx="73">
                  <c:v>7.3999999999999897</c:v>
                </c:pt>
                <c:pt idx="74">
                  <c:v>7.4999999999999893</c:v>
                </c:pt>
                <c:pt idx="75">
                  <c:v>7.599999999999989</c:v>
                </c:pt>
                <c:pt idx="76">
                  <c:v>7.6999999999999886</c:v>
                </c:pt>
                <c:pt idx="77">
                  <c:v>7.7999999999999883</c:v>
                </c:pt>
                <c:pt idx="78">
                  <c:v>7.8999999999999879</c:v>
                </c:pt>
              </c:numCache>
            </c:numRef>
          </c:xVal>
          <c:yVal>
            <c:numRef>
              <c:f>'Sheet10 (3)'!$R$11:$R$89</c:f>
              <c:numCache>
                <c:formatCode>"$"#,##0.00</c:formatCode>
                <c:ptCount val="79"/>
                <c:pt idx="0">
                  <c:v>0.55322897012504146</c:v>
                </c:pt>
                <c:pt idx="1">
                  <c:v>1.1064313434493711</c:v>
                </c:pt>
                <c:pt idx="2">
                  <c:v>1.6595805270081365</c:v>
                </c:pt>
                <c:pt idx="3">
                  <c:v>2.2126499355074047</c:v>
                </c:pt>
                <c:pt idx="4">
                  <c:v>2.7656129951572961</c:v>
                </c:pt>
                <c:pt idx="5">
                  <c:v>3.3184431475023537</c:v>
                </c:pt>
                <c:pt idx="6">
                  <c:v>3.8711138532481426</c:v>
                </c:pt>
                <c:pt idx="7">
                  <c:v>4.4235985960835222</c:v>
                </c:pt>
                <c:pt idx="8">
                  <c:v>4.9758708864970913</c:v>
                </c:pt>
                <c:pt idx="9">
                  <c:v>5.5279042655872912</c:v>
                </c:pt>
                <c:pt idx="10">
                  <c:v>6.0796723088652804</c:v>
                </c:pt>
                <c:pt idx="11">
                  <c:v>6.6311486300493661</c:v>
                </c:pt>
                <c:pt idx="12">
                  <c:v>7.1823068848504423</c:v>
                </c:pt>
                <c:pt idx="13">
                  <c:v>7.7331207747471762</c:v>
                </c:pt>
                <c:pt idx="14">
                  <c:v>8.2835640507503694</c:v>
                </c:pt>
                <c:pt idx="15">
                  <c:v>8.8336105171553427</c:v>
                </c:pt>
                <c:pt idx="16">
                  <c:v>9.3832340352816459</c:v>
                </c:pt>
                <c:pt idx="17">
                  <c:v>9.9324085271989659</c:v>
                </c:pt>
                <c:pt idx="18">
                  <c:v>10.481107979438725</c:v>
                </c:pt>
                <c:pt idx="19">
                  <c:v>11.02930644668989</c:v>
                </c:pt>
                <c:pt idx="20">
                  <c:v>11.576978055478993</c:v>
                </c:pt>
                <c:pt idx="21">
                  <c:v>12.124097007832496</c:v>
                </c:pt>
                <c:pt idx="22">
                  <c:v>12.670637584921373</c:v>
                </c:pt>
                <c:pt idx="23">
                  <c:v>13.21657415068676</c:v>
                </c:pt>
                <c:pt idx="24">
                  <c:v>13.761881155445904</c:v>
                </c:pt>
                <c:pt idx="25">
                  <c:v>14.306533139477423</c:v>
                </c:pt>
                <c:pt idx="26">
                  <c:v>14.85050473658524</c:v>
                </c:pt>
                <c:pt idx="27">
                  <c:v>15.393770677640223</c:v>
                </c:pt>
                <c:pt idx="28">
                  <c:v>15.93630579409866</c:v>
                </c:pt>
                <c:pt idx="29">
                  <c:v>16.478085021497112</c:v>
                </c:pt>
                <c:pt idx="30">
                  <c:v>17.019083402922181</c:v>
                </c:pt>
                <c:pt idx="31">
                  <c:v>17.559276092455107</c:v>
                </c:pt>
                <c:pt idx="32">
                  <c:v>18.098638358589884</c:v>
                </c:pt>
                <c:pt idx="33">
                  <c:v>18.637145587624303</c:v>
                </c:pt>
                <c:pt idx="34">
                  <c:v>19.174773287023395</c:v>
                </c:pt>
                <c:pt idx="35">
                  <c:v>19.711497088753799</c:v>
                </c:pt>
                <c:pt idx="36">
                  <c:v>20.247292752589193</c:v>
                </c:pt>
                <c:pt idx="37">
                  <c:v>20.782136169385439</c:v>
                </c:pt>
                <c:pt idx="38">
                  <c:v>21.316003364324764</c:v>
                </c:pt>
                <c:pt idx="39">
                  <c:v>21.848870500128669</c:v>
                </c:pt>
                <c:pt idx="40">
                  <c:v>22.380713880238211</c:v>
                </c:pt>
                <c:pt idx="41">
                  <c:v>22.911509951961545</c:v>
                </c:pt>
                <c:pt idx="42">
                  <c:v>23.441235309587643</c:v>
                </c:pt>
                <c:pt idx="43">
                  <c:v>23.969866697465637</c:v>
                </c:pt>
                <c:pt idx="44">
                  <c:v>24.497381013049317</c:v>
                </c:pt>
                <c:pt idx="45">
                  <c:v>25.023755309905617</c:v>
                </c:pt>
                <c:pt idx="46">
                  <c:v>25.548966800687051</c:v>
                </c:pt>
                <c:pt idx="47">
                  <c:v>26.072992860066968</c:v>
                </c:pt>
                <c:pt idx="48">
                  <c:v>26.595811027637321</c:v>
                </c:pt>
                <c:pt idx="49">
                  <c:v>27.117399010768107</c:v>
                </c:pt>
                <c:pt idx="50">
                  <c:v>27.637734687428093</c:v>
                </c:pt>
                <c:pt idx="51">
                  <c:v>28.156796108966088</c:v>
                </c:pt>
                <c:pt idx="52">
                  <c:v>28.674561502852246</c:v>
                </c:pt>
                <c:pt idx="53">
                  <c:v>29.191009275378811</c:v>
                </c:pt>
                <c:pt idx="54">
                  <c:v>29.706118014319838</c:v>
                </c:pt>
                <c:pt idx="55">
                  <c:v>30.219866491549109</c:v>
                </c:pt>
                <c:pt idx="56">
                  <c:v>30.732233665616253</c:v>
                </c:pt>
                <c:pt idx="57">
                  <c:v>31.24319868427979</c:v>
                </c:pt>
                <c:pt idx="58">
                  <c:v>31.752740886997376</c:v>
                </c:pt>
                <c:pt idx="59">
                  <c:v>32.260839807372228</c:v>
                </c:pt>
                <c:pt idx="60">
                  <c:v>32.767475175555496</c:v>
                </c:pt>
                <c:pt idx="61">
                  <c:v>33.272626920604118</c:v>
                </c:pt>
                <c:pt idx="62">
                  <c:v>33.776275172793689</c:v>
                </c:pt>
                <c:pt idx="63">
                  <c:v>34.27840026588585</c:v>
                </c:pt>
                <c:pt idx="64">
                  <c:v>34.778982739349999</c:v>
                </c:pt>
                <c:pt idx="65">
                  <c:v>35.278003340538554</c:v>
                </c:pt>
                <c:pt idx="66">
                  <c:v>35.775443026815893</c:v>
                </c:pt>
                <c:pt idx="67">
                  <c:v>36.271282967640126</c:v>
                </c:pt>
                <c:pt idx="68">
                  <c:v>36.765504546597654</c:v>
                </c:pt>
                <c:pt idx="69">
                  <c:v>37.258089363389992</c:v>
                </c:pt>
                <c:pt idx="70">
                  <c:v>37.749019235772693</c:v>
                </c:pt>
                <c:pt idx="71">
                  <c:v>38.238276201446027</c:v>
                </c:pt>
                <c:pt idx="72">
                  <c:v>38.725842519896858</c:v>
                </c:pt>
                <c:pt idx="73">
                  <c:v>39.211700674192009</c:v>
                </c:pt>
                <c:pt idx="74">
                  <c:v>39.695833372722177</c:v>
                </c:pt>
                <c:pt idx="75">
                  <c:v>40.178223550896753</c:v>
                </c:pt>
                <c:pt idx="76">
                  <c:v>40.658854372788802</c:v>
                </c:pt>
                <c:pt idx="77">
                  <c:v>41.137709232730508</c:v>
                </c:pt>
                <c:pt idx="78">
                  <c:v>41.614771756858303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DBA-4C09-B81D-86946FDBFF87}"/>
            </c:ext>
          </c:extLst>
        </c:ser>
        <c:ser>
          <c:idx val="1"/>
          <c:order val="1"/>
          <c:tx>
            <c:strRef>
              <c:f>'Sheet10 (3)'!$S$10</c:f>
              <c:strCache>
                <c:ptCount val="1"/>
                <c:pt idx="0">
                  <c:v>Approximated Straddle</c:v>
                </c:pt>
              </c:strCache>
            </c:strRef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'Sheet10 (3)'!$Q$11:$Q$89</c:f>
              <c:numCache>
                <c:formatCode>0%</c:formatCode>
                <c:ptCount val="79"/>
                <c:pt idx="0">
                  <c:v>0.1</c:v>
                </c:pt>
                <c:pt idx="1">
                  <c:v>0.2</c:v>
                </c:pt>
                <c:pt idx="2">
                  <c:v>0.30000000000000004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0.79999999999999993</c:v>
                </c:pt>
                <c:pt idx="8">
                  <c:v>0.89999999999999991</c:v>
                </c:pt>
                <c:pt idx="9">
                  <c:v>0.99999999999999989</c:v>
                </c:pt>
                <c:pt idx="10">
                  <c:v>1.0999999999999999</c:v>
                </c:pt>
                <c:pt idx="11">
                  <c:v>1.2</c:v>
                </c:pt>
                <c:pt idx="12">
                  <c:v>1.3</c:v>
                </c:pt>
                <c:pt idx="13">
                  <c:v>1.4000000000000001</c:v>
                </c:pt>
                <c:pt idx="14">
                  <c:v>1.5000000000000002</c:v>
                </c:pt>
                <c:pt idx="15">
                  <c:v>1.6000000000000003</c:v>
                </c:pt>
                <c:pt idx="16">
                  <c:v>1.7000000000000004</c:v>
                </c:pt>
                <c:pt idx="17">
                  <c:v>1.8000000000000005</c:v>
                </c:pt>
                <c:pt idx="18">
                  <c:v>1.9000000000000006</c:v>
                </c:pt>
                <c:pt idx="19">
                  <c:v>2.0000000000000004</c:v>
                </c:pt>
                <c:pt idx="20">
                  <c:v>2.1000000000000005</c:v>
                </c:pt>
                <c:pt idx="21">
                  <c:v>2.2000000000000006</c:v>
                </c:pt>
                <c:pt idx="22">
                  <c:v>2.3000000000000007</c:v>
                </c:pt>
                <c:pt idx="23">
                  <c:v>2.4000000000000008</c:v>
                </c:pt>
                <c:pt idx="24">
                  <c:v>2.5000000000000009</c:v>
                </c:pt>
                <c:pt idx="25">
                  <c:v>2.600000000000001</c:v>
                </c:pt>
                <c:pt idx="26">
                  <c:v>2.7000000000000011</c:v>
                </c:pt>
                <c:pt idx="27">
                  <c:v>2.8000000000000012</c:v>
                </c:pt>
                <c:pt idx="28">
                  <c:v>2.9000000000000012</c:v>
                </c:pt>
                <c:pt idx="29">
                  <c:v>3.0000000000000013</c:v>
                </c:pt>
                <c:pt idx="30">
                  <c:v>3.1000000000000014</c:v>
                </c:pt>
                <c:pt idx="31">
                  <c:v>3.2000000000000015</c:v>
                </c:pt>
                <c:pt idx="32">
                  <c:v>3.3000000000000016</c:v>
                </c:pt>
                <c:pt idx="33">
                  <c:v>3.4000000000000017</c:v>
                </c:pt>
                <c:pt idx="34">
                  <c:v>3.5000000000000018</c:v>
                </c:pt>
                <c:pt idx="35">
                  <c:v>3.6000000000000019</c:v>
                </c:pt>
                <c:pt idx="36">
                  <c:v>3.700000000000002</c:v>
                </c:pt>
                <c:pt idx="37">
                  <c:v>3.800000000000002</c:v>
                </c:pt>
                <c:pt idx="38">
                  <c:v>3.9000000000000021</c:v>
                </c:pt>
                <c:pt idx="39">
                  <c:v>4.0000000000000018</c:v>
                </c:pt>
                <c:pt idx="40">
                  <c:v>4.1000000000000014</c:v>
                </c:pt>
                <c:pt idx="41">
                  <c:v>4.2000000000000011</c:v>
                </c:pt>
                <c:pt idx="42">
                  <c:v>4.3000000000000007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4.6999999999999993</c:v>
                </c:pt>
                <c:pt idx="47">
                  <c:v>4.7999999999999989</c:v>
                </c:pt>
                <c:pt idx="48">
                  <c:v>4.8999999999999986</c:v>
                </c:pt>
                <c:pt idx="49">
                  <c:v>4.9999999999999982</c:v>
                </c:pt>
                <c:pt idx="50">
                  <c:v>5.0999999999999979</c:v>
                </c:pt>
                <c:pt idx="51">
                  <c:v>5.1999999999999975</c:v>
                </c:pt>
                <c:pt idx="52">
                  <c:v>5.2999999999999972</c:v>
                </c:pt>
                <c:pt idx="53">
                  <c:v>5.3999999999999968</c:v>
                </c:pt>
                <c:pt idx="54">
                  <c:v>5.4999999999999964</c:v>
                </c:pt>
                <c:pt idx="55">
                  <c:v>5.5999999999999961</c:v>
                </c:pt>
                <c:pt idx="56">
                  <c:v>5.6999999999999957</c:v>
                </c:pt>
                <c:pt idx="57">
                  <c:v>5.7999999999999954</c:v>
                </c:pt>
                <c:pt idx="58">
                  <c:v>5.899999999999995</c:v>
                </c:pt>
                <c:pt idx="59">
                  <c:v>5.9999999999999947</c:v>
                </c:pt>
                <c:pt idx="60">
                  <c:v>6.0999999999999943</c:v>
                </c:pt>
                <c:pt idx="61">
                  <c:v>6.199999999999994</c:v>
                </c:pt>
                <c:pt idx="62">
                  <c:v>6.2999999999999936</c:v>
                </c:pt>
                <c:pt idx="63">
                  <c:v>6.3999999999999932</c:v>
                </c:pt>
                <c:pt idx="64">
                  <c:v>6.4999999999999929</c:v>
                </c:pt>
                <c:pt idx="65">
                  <c:v>6.5999999999999925</c:v>
                </c:pt>
                <c:pt idx="66">
                  <c:v>6.6999999999999922</c:v>
                </c:pt>
                <c:pt idx="67">
                  <c:v>6.7999999999999918</c:v>
                </c:pt>
                <c:pt idx="68">
                  <c:v>6.8999999999999915</c:v>
                </c:pt>
                <c:pt idx="69">
                  <c:v>6.9999999999999911</c:v>
                </c:pt>
                <c:pt idx="70">
                  <c:v>7.0999999999999908</c:v>
                </c:pt>
                <c:pt idx="71">
                  <c:v>7.1999999999999904</c:v>
                </c:pt>
                <c:pt idx="72">
                  <c:v>7.2999999999999901</c:v>
                </c:pt>
                <c:pt idx="73">
                  <c:v>7.3999999999999897</c:v>
                </c:pt>
                <c:pt idx="74">
                  <c:v>7.4999999999999893</c:v>
                </c:pt>
                <c:pt idx="75">
                  <c:v>7.599999999999989</c:v>
                </c:pt>
                <c:pt idx="76">
                  <c:v>7.6999999999999886</c:v>
                </c:pt>
                <c:pt idx="77">
                  <c:v>7.7999999999999883</c:v>
                </c:pt>
                <c:pt idx="78">
                  <c:v>7.8999999999999879</c:v>
                </c:pt>
              </c:numCache>
            </c:numRef>
          </c:xVal>
          <c:yVal>
            <c:numRef>
              <c:f>'Sheet10 (3)'!$S$11:$S$89</c:f>
              <c:numCache>
                <c:formatCode>"$"#,##0.00</c:formatCode>
                <c:ptCount val="79"/>
                <c:pt idx="0">
                  <c:v>0.55470019622522915</c:v>
                </c:pt>
                <c:pt idx="1">
                  <c:v>1.1094003924504583</c:v>
                </c:pt>
                <c:pt idx="2">
                  <c:v>1.6641005886756877</c:v>
                </c:pt>
                <c:pt idx="3">
                  <c:v>2.2188007849009166</c:v>
                </c:pt>
                <c:pt idx="4">
                  <c:v>2.773500981126146</c:v>
                </c:pt>
                <c:pt idx="5">
                  <c:v>3.3282011773513749</c:v>
                </c:pt>
                <c:pt idx="6">
                  <c:v>3.8829013735766038</c:v>
                </c:pt>
                <c:pt idx="7">
                  <c:v>4.4376015698018323</c:v>
                </c:pt>
                <c:pt idx="8">
                  <c:v>4.9923017660270625</c:v>
                </c:pt>
                <c:pt idx="9">
                  <c:v>5.5470019622522901</c:v>
                </c:pt>
                <c:pt idx="10">
                  <c:v>6.1017021584775195</c:v>
                </c:pt>
                <c:pt idx="11">
                  <c:v>6.6564023547027498</c:v>
                </c:pt>
                <c:pt idx="12">
                  <c:v>7.2111025509279791</c:v>
                </c:pt>
                <c:pt idx="13">
                  <c:v>7.7658027471532094</c:v>
                </c:pt>
                <c:pt idx="14">
                  <c:v>8.3205029433784379</c:v>
                </c:pt>
                <c:pt idx="15">
                  <c:v>8.8752031396036681</c:v>
                </c:pt>
                <c:pt idx="16">
                  <c:v>9.4299033358288966</c:v>
                </c:pt>
                <c:pt idx="17">
                  <c:v>9.9846035320541269</c:v>
                </c:pt>
                <c:pt idx="18">
                  <c:v>10.539303728279357</c:v>
                </c:pt>
                <c:pt idx="19">
                  <c:v>11.094003924504586</c:v>
                </c:pt>
                <c:pt idx="20">
                  <c:v>11.648704120729816</c:v>
                </c:pt>
                <c:pt idx="21">
                  <c:v>12.203404316955044</c:v>
                </c:pt>
                <c:pt idx="22">
                  <c:v>12.758104513180275</c:v>
                </c:pt>
                <c:pt idx="23">
                  <c:v>13.312804709405503</c:v>
                </c:pt>
                <c:pt idx="24">
                  <c:v>13.867504905630733</c:v>
                </c:pt>
                <c:pt idx="25">
                  <c:v>14.422205101855964</c:v>
                </c:pt>
                <c:pt idx="26">
                  <c:v>14.976905298081192</c:v>
                </c:pt>
                <c:pt idx="27">
                  <c:v>15.531605494306422</c:v>
                </c:pt>
                <c:pt idx="28">
                  <c:v>16.086305690531653</c:v>
                </c:pt>
                <c:pt idx="29">
                  <c:v>16.641005886756883</c:v>
                </c:pt>
                <c:pt idx="30">
                  <c:v>17.195706082982113</c:v>
                </c:pt>
                <c:pt idx="31">
                  <c:v>17.75040627920734</c:v>
                </c:pt>
                <c:pt idx="32">
                  <c:v>18.30510647543257</c:v>
                </c:pt>
                <c:pt idx="33">
                  <c:v>18.8598066716578</c:v>
                </c:pt>
                <c:pt idx="34">
                  <c:v>19.414506867883027</c:v>
                </c:pt>
                <c:pt idx="35">
                  <c:v>19.969207064108261</c:v>
                </c:pt>
                <c:pt idx="36">
                  <c:v>20.523907260333491</c:v>
                </c:pt>
                <c:pt idx="37">
                  <c:v>21.078607456558718</c:v>
                </c:pt>
                <c:pt idx="38">
                  <c:v>21.633307652783948</c:v>
                </c:pt>
                <c:pt idx="39">
                  <c:v>22.188007849009175</c:v>
                </c:pt>
                <c:pt idx="40">
                  <c:v>22.742708045234401</c:v>
                </c:pt>
                <c:pt idx="41">
                  <c:v>23.297408241459632</c:v>
                </c:pt>
                <c:pt idx="42">
                  <c:v>23.852108437684858</c:v>
                </c:pt>
                <c:pt idx="43">
                  <c:v>24.406808633910082</c:v>
                </c:pt>
                <c:pt idx="44">
                  <c:v>24.961508830135312</c:v>
                </c:pt>
                <c:pt idx="45">
                  <c:v>25.516209026360542</c:v>
                </c:pt>
                <c:pt idx="46">
                  <c:v>26.070909222585765</c:v>
                </c:pt>
                <c:pt idx="47">
                  <c:v>26.625609418810992</c:v>
                </c:pt>
                <c:pt idx="48">
                  <c:v>27.180309615036219</c:v>
                </c:pt>
                <c:pt idx="49">
                  <c:v>27.735009811261449</c:v>
                </c:pt>
                <c:pt idx="50">
                  <c:v>28.289710007486676</c:v>
                </c:pt>
                <c:pt idx="51">
                  <c:v>28.844410203711899</c:v>
                </c:pt>
                <c:pt idx="52">
                  <c:v>29.399110399937129</c:v>
                </c:pt>
                <c:pt idx="53">
                  <c:v>29.953810596162359</c:v>
                </c:pt>
                <c:pt idx="54">
                  <c:v>30.508510792387582</c:v>
                </c:pt>
                <c:pt idx="55">
                  <c:v>31.063210988612809</c:v>
                </c:pt>
                <c:pt idx="56">
                  <c:v>31.617911184838039</c:v>
                </c:pt>
                <c:pt idx="57">
                  <c:v>32.17261138106327</c:v>
                </c:pt>
                <c:pt idx="58">
                  <c:v>32.727311577288489</c:v>
                </c:pt>
                <c:pt idx="59">
                  <c:v>33.282011773513716</c:v>
                </c:pt>
                <c:pt idx="60">
                  <c:v>33.83671196973895</c:v>
                </c:pt>
                <c:pt idx="61">
                  <c:v>34.391412165964176</c:v>
                </c:pt>
                <c:pt idx="62">
                  <c:v>34.946112362189403</c:v>
                </c:pt>
                <c:pt idx="63">
                  <c:v>35.500812558414623</c:v>
                </c:pt>
                <c:pt idx="64">
                  <c:v>36.055512754639857</c:v>
                </c:pt>
                <c:pt idx="65">
                  <c:v>36.610212950865083</c:v>
                </c:pt>
                <c:pt idx="66">
                  <c:v>37.164913147090303</c:v>
                </c:pt>
                <c:pt idx="67">
                  <c:v>37.719613343315537</c:v>
                </c:pt>
                <c:pt idx="68">
                  <c:v>38.274313539540763</c:v>
                </c:pt>
                <c:pt idx="69">
                  <c:v>38.82901373576599</c:v>
                </c:pt>
                <c:pt idx="70">
                  <c:v>39.383713931991224</c:v>
                </c:pt>
                <c:pt idx="71">
                  <c:v>39.938414128216444</c:v>
                </c:pt>
                <c:pt idx="72">
                  <c:v>40.49311432444167</c:v>
                </c:pt>
                <c:pt idx="73">
                  <c:v>41.047814520666904</c:v>
                </c:pt>
                <c:pt idx="74">
                  <c:v>41.602514716892124</c:v>
                </c:pt>
                <c:pt idx="75">
                  <c:v>42.15721491311735</c:v>
                </c:pt>
                <c:pt idx="76">
                  <c:v>42.711915109342584</c:v>
                </c:pt>
                <c:pt idx="77">
                  <c:v>43.266615305567811</c:v>
                </c:pt>
                <c:pt idx="78">
                  <c:v>43.821315501793038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DBA-4C09-B81D-86946FDBFF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52385647"/>
        <c:axId val="1138069055"/>
      </c:scatterChart>
      <c:scatterChart>
        <c:scatterStyle val="lineMarker"/>
        <c:varyColors val="0"/>
        <c:ser>
          <c:idx val="2"/>
          <c:order val="2"/>
          <c:tx>
            <c:strRef>
              <c:f>'Sheet10 (3)'!$T$10</c:f>
              <c:strCache>
                <c:ptCount val="1"/>
                <c:pt idx="0">
                  <c:v>Error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'Sheet10 (3)'!$Q$11:$Q$89</c:f>
              <c:numCache>
                <c:formatCode>0%</c:formatCode>
                <c:ptCount val="79"/>
                <c:pt idx="0">
                  <c:v>0.1</c:v>
                </c:pt>
                <c:pt idx="1">
                  <c:v>0.2</c:v>
                </c:pt>
                <c:pt idx="2">
                  <c:v>0.30000000000000004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0.79999999999999993</c:v>
                </c:pt>
                <c:pt idx="8">
                  <c:v>0.89999999999999991</c:v>
                </c:pt>
                <c:pt idx="9">
                  <c:v>0.99999999999999989</c:v>
                </c:pt>
                <c:pt idx="10">
                  <c:v>1.0999999999999999</c:v>
                </c:pt>
                <c:pt idx="11">
                  <c:v>1.2</c:v>
                </c:pt>
                <c:pt idx="12">
                  <c:v>1.3</c:v>
                </c:pt>
                <c:pt idx="13">
                  <c:v>1.4000000000000001</c:v>
                </c:pt>
                <c:pt idx="14">
                  <c:v>1.5000000000000002</c:v>
                </c:pt>
                <c:pt idx="15">
                  <c:v>1.6000000000000003</c:v>
                </c:pt>
                <c:pt idx="16">
                  <c:v>1.7000000000000004</c:v>
                </c:pt>
                <c:pt idx="17">
                  <c:v>1.8000000000000005</c:v>
                </c:pt>
                <c:pt idx="18">
                  <c:v>1.9000000000000006</c:v>
                </c:pt>
                <c:pt idx="19">
                  <c:v>2.0000000000000004</c:v>
                </c:pt>
                <c:pt idx="20">
                  <c:v>2.1000000000000005</c:v>
                </c:pt>
                <c:pt idx="21">
                  <c:v>2.2000000000000006</c:v>
                </c:pt>
                <c:pt idx="22">
                  <c:v>2.3000000000000007</c:v>
                </c:pt>
                <c:pt idx="23">
                  <c:v>2.4000000000000008</c:v>
                </c:pt>
                <c:pt idx="24">
                  <c:v>2.5000000000000009</c:v>
                </c:pt>
                <c:pt idx="25">
                  <c:v>2.600000000000001</c:v>
                </c:pt>
                <c:pt idx="26">
                  <c:v>2.7000000000000011</c:v>
                </c:pt>
                <c:pt idx="27">
                  <c:v>2.8000000000000012</c:v>
                </c:pt>
                <c:pt idx="28">
                  <c:v>2.9000000000000012</c:v>
                </c:pt>
                <c:pt idx="29">
                  <c:v>3.0000000000000013</c:v>
                </c:pt>
                <c:pt idx="30">
                  <c:v>3.1000000000000014</c:v>
                </c:pt>
                <c:pt idx="31">
                  <c:v>3.2000000000000015</c:v>
                </c:pt>
                <c:pt idx="32">
                  <c:v>3.3000000000000016</c:v>
                </c:pt>
                <c:pt idx="33">
                  <c:v>3.4000000000000017</c:v>
                </c:pt>
                <c:pt idx="34">
                  <c:v>3.5000000000000018</c:v>
                </c:pt>
                <c:pt idx="35">
                  <c:v>3.6000000000000019</c:v>
                </c:pt>
                <c:pt idx="36">
                  <c:v>3.700000000000002</c:v>
                </c:pt>
                <c:pt idx="37">
                  <c:v>3.800000000000002</c:v>
                </c:pt>
                <c:pt idx="38">
                  <c:v>3.9000000000000021</c:v>
                </c:pt>
                <c:pt idx="39">
                  <c:v>4.0000000000000018</c:v>
                </c:pt>
                <c:pt idx="40">
                  <c:v>4.1000000000000014</c:v>
                </c:pt>
                <c:pt idx="41">
                  <c:v>4.2000000000000011</c:v>
                </c:pt>
                <c:pt idx="42">
                  <c:v>4.3000000000000007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4.6999999999999993</c:v>
                </c:pt>
                <c:pt idx="47">
                  <c:v>4.7999999999999989</c:v>
                </c:pt>
                <c:pt idx="48">
                  <c:v>4.8999999999999986</c:v>
                </c:pt>
                <c:pt idx="49">
                  <c:v>4.9999999999999982</c:v>
                </c:pt>
                <c:pt idx="50">
                  <c:v>5.0999999999999979</c:v>
                </c:pt>
                <c:pt idx="51">
                  <c:v>5.1999999999999975</c:v>
                </c:pt>
                <c:pt idx="52">
                  <c:v>5.2999999999999972</c:v>
                </c:pt>
                <c:pt idx="53">
                  <c:v>5.3999999999999968</c:v>
                </c:pt>
                <c:pt idx="54">
                  <c:v>5.4999999999999964</c:v>
                </c:pt>
                <c:pt idx="55">
                  <c:v>5.5999999999999961</c:v>
                </c:pt>
                <c:pt idx="56">
                  <c:v>5.6999999999999957</c:v>
                </c:pt>
                <c:pt idx="57">
                  <c:v>5.7999999999999954</c:v>
                </c:pt>
                <c:pt idx="58">
                  <c:v>5.899999999999995</c:v>
                </c:pt>
                <c:pt idx="59">
                  <c:v>5.9999999999999947</c:v>
                </c:pt>
                <c:pt idx="60">
                  <c:v>6.0999999999999943</c:v>
                </c:pt>
                <c:pt idx="61">
                  <c:v>6.199999999999994</c:v>
                </c:pt>
                <c:pt idx="62">
                  <c:v>6.2999999999999936</c:v>
                </c:pt>
                <c:pt idx="63">
                  <c:v>6.3999999999999932</c:v>
                </c:pt>
                <c:pt idx="64">
                  <c:v>6.4999999999999929</c:v>
                </c:pt>
                <c:pt idx="65">
                  <c:v>6.5999999999999925</c:v>
                </c:pt>
                <c:pt idx="66">
                  <c:v>6.6999999999999922</c:v>
                </c:pt>
                <c:pt idx="67">
                  <c:v>6.7999999999999918</c:v>
                </c:pt>
                <c:pt idx="68">
                  <c:v>6.8999999999999915</c:v>
                </c:pt>
                <c:pt idx="69">
                  <c:v>6.9999999999999911</c:v>
                </c:pt>
                <c:pt idx="70">
                  <c:v>7.0999999999999908</c:v>
                </c:pt>
                <c:pt idx="71">
                  <c:v>7.1999999999999904</c:v>
                </c:pt>
                <c:pt idx="72">
                  <c:v>7.2999999999999901</c:v>
                </c:pt>
                <c:pt idx="73">
                  <c:v>7.3999999999999897</c:v>
                </c:pt>
                <c:pt idx="74">
                  <c:v>7.4999999999999893</c:v>
                </c:pt>
                <c:pt idx="75">
                  <c:v>7.599999999999989</c:v>
                </c:pt>
                <c:pt idx="76">
                  <c:v>7.6999999999999886</c:v>
                </c:pt>
                <c:pt idx="77">
                  <c:v>7.7999999999999883</c:v>
                </c:pt>
                <c:pt idx="78">
                  <c:v>7.8999999999999879</c:v>
                </c:pt>
              </c:numCache>
            </c:numRef>
          </c:xVal>
          <c:yVal>
            <c:numRef>
              <c:f>'Sheet10 (3)'!$T$11:$T$89</c:f>
              <c:numCache>
                <c:formatCode>0.0%</c:formatCode>
                <c:ptCount val="79"/>
                <c:pt idx="0">
                  <c:v>2.6593439238280503E-3</c:v>
                </c:pt>
                <c:pt idx="1">
                  <c:v>2.6834462153169092E-3</c:v>
                </c:pt>
                <c:pt idx="2">
                  <c:v>2.7236169586177805E-3</c:v>
                </c:pt>
                <c:pt idx="3">
                  <c:v>2.7798565398016173E-3</c:v>
                </c:pt>
                <c:pt idx="4">
                  <c:v>2.8521654991722212E-3</c:v>
                </c:pt>
                <c:pt idx="5">
                  <c:v>2.9405445310599632E-3</c:v>
                </c:pt>
                <c:pt idx="6">
                  <c:v>3.0449944835826415E-3</c:v>
                </c:pt>
                <c:pt idx="7">
                  <c:v>3.1655163582671175E-3</c:v>
                </c:pt>
                <c:pt idx="8">
                  <c:v>3.3021113097124744E-3</c:v>
                </c:pt>
                <c:pt idx="9">
                  <c:v>3.4547806451510343E-3</c:v>
                </c:pt>
                <c:pt idx="10">
                  <c:v>3.6235258239354362E-3</c:v>
                </c:pt>
                <c:pt idx="11">
                  <c:v>3.8083484569997328E-3</c:v>
                </c:pt>
                <c:pt idx="12">
                  <c:v>4.0092503062316709E-3</c:v>
                </c:pt>
                <c:pt idx="13">
                  <c:v>4.2262332838196581E-3</c:v>
                </c:pt>
                <c:pt idx="14">
                  <c:v>4.4592994515111339E-3</c:v>
                </c:pt>
                <c:pt idx="15">
                  <c:v>4.7084510198349694E-3</c:v>
                </c:pt>
                <c:pt idx="16">
                  <c:v>4.9736903472481497E-3</c:v>
                </c:pt>
                <c:pt idx="17">
                  <c:v>5.2550199392453756E-3</c:v>
                </c:pt>
                <c:pt idx="18">
                  <c:v>5.5524424473822886E-3</c:v>
                </c:pt>
                <c:pt idx="19">
                  <c:v>5.8659606682804899E-3</c:v>
                </c:pt>
                <c:pt idx="20">
                  <c:v>6.1955775425244219E-3</c:v>
                </c:pt>
                <c:pt idx="21">
                  <c:v>6.5412961535455949E-3</c:v>
                </c:pt>
                <c:pt idx="22">
                  <c:v>6.9031197264288746E-3</c:v>
                </c:pt>
                <c:pt idx="23">
                  <c:v>7.2810516266610392E-3</c:v>
                </c:pt>
                <c:pt idx="24">
                  <c:v>7.6750953588224924E-3</c:v>
                </c:pt>
                <c:pt idx="25">
                  <c:v>8.0852545652276842E-3</c:v>
                </c:pt>
                <c:pt idx="26">
                  <c:v>8.5115330245009169E-3</c:v>
                </c:pt>
                <c:pt idx="27">
                  <c:v>8.9539346500988604E-3</c:v>
                </c:pt>
                <c:pt idx="28">
                  <c:v>9.4124634887804426E-3</c:v>
                </c:pt>
                <c:pt idx="29">
                  <c:v>9.8871237190016892E-3</c:v>
                </c:pt>
                <c:pt idx="30">
                  <c:v>1.0377919649280587E-2</c:v>
                </c:pt>
                <c:pt idx="31">
                  <c:v>1.0884855716481345E-2</c:v>
                </c:pt>
                <c:pt idx="32">
                  <c:v>1.1407936484055581E-2</c:v>
                </c:pt>
                <c:pt idx="33">
                  <c:v>1.194716664022577E-2</c:v>
                </c:pt>
                <c:pt idx="34">
                  <c:v>1.2502550996098316E-2</c:v>
                </c:pt>
                <c:pt idx="35">
                  <c:v>1.3074094483746634E-2</c:v>
                </c:pt>
                <c:pt idx="36">
                  <c:v>1.3661802154212754E-2</c:v>
                </c:pt>
                <c:pt idx="37">
                  <c:v>1.4265679175464951E-2</c:v>
                </c:pt>
                <c:pt idx="38">
                  <c:v>1.4885730830303645E-2</c:v>
                </c:pt>
                <c:pt idx="39">
                  <c:v>1.5521962514195353E-2</c:v>
                </c:pt>
                <c:pt idx="40">
                  <c:v>1.617437973307112E-2</c:v>
                </c:pt>
                <c:pt idx="41">
                  <c:v>1.6842988101054779E-2</c:v>
                </c:pt>
                <c:pt idx="42">
                  <c:v>1.7527793338142139E-2</c:v>
                </c:pt>
                <c:pt idx="43">
                  <c:v>1.8228801267828665E-2</c:v>
                </c:pt>
                <c:pt idx="44">
                  <c:v>1.8946017814670091E-2</c:v>
                </c:pt>
                <c:pt idx="45">
                  <c:v>1.9679449001804628E-2</c:v>
                </c:pt>
                <c:pt idx="46">
                  <c:v>2.0429100948406109E-2</c:v>
                </c:pt>
                <c:pt idx="47">
                  <c:v>2.1194979867094732E-2</c:v>
                </c:pt>
                <c:pt idx="48">
                  <c:v>2.1977092061284065E-2</c:v>
                </c:pt>
                <c:pt idx="49">
                  <c:v>2.2775443922482985E-2</c:v>
                </c:pt>
                <c:pt idx="50">
                  <c:v>2.3590041927537442E-2</c:v>
                </c:pt>
                <c:pt idx="51">
                  <c:v>2.44208926358227E-2</c:v>
                </c:pt>
                <c:pt idx="52">
                  <c:v>2.526800268638163E-2</c:v>
                </c:pt>
                <c:pt idx="53">
                  <c:v>2.6131378795009041E-2</c:v>
                </c:pt>
                <c:pt idx="54">
                  <c:v>2.7011027751285166E-2</c:v>
                </c:pt>
                <c:pt idx="55">
                  <c:v>2.7906956415559847E-2</c:v>
                </c:pt>
                <c:pt idx="56">
                  <c:v>2.8819171715875003E-2</c:v>
                </c:pt>
                <c:pt idx="57">
                  <c:v>2.9747680644847563E-2</c:v>
                </c:pt>
                <c:pt idx="58">
                  <c:v>3.0692490256492899E-2</c:v>
                </c:pt>
                <c:pt idx="59">
                  <c:v>3.165360766300096E-2</c:v>
                </c:pt>
                <c:pt idx="60">
                  <c:v>3.2631040031460889E-2</c:v>
                </c:pt>
                <c:pt idx="61">
                  <c:v>3.3624794580533912E-2</c:v>
                </c:pt>
                <c:pt idx="62">
                  <c:v>3.463487857707892E-2</c:v>
                </c:pt>
                <c:pt idx="63">
                  <c:v>3.566129933272677E-2</c:v>
                </c:pt>
                <c:pt idx="64">
                  <c:v>3.6704064200404396E-2</c:v>
                </c:pt>
                <c:pt idx="65">
                  <c:v>3.7763180570813848E-2</c:v>
                </c:pt>
                <c:pt idx="66">
                  <c:v>3.8838655868857153E-2</c:v>
                </c:pt>
                <c:pt idx="67">
                  <c:v>3.9930497550019206E-2</c:v>
                </c:pt>
                <c:pt idx="68">
                  <c:v>4.1038713096696489E-2</c:v>
                </c:pt>
                <c:pt idx="69">
                  <c:v>4.2163310014484923E-2</c:v>
                </c:pt>
                <c:pt idx="70">
                  <c:v>4.3304295828417771E-2</c:v>
                </c:pt>
                <c:pt idx="71">
                  <c:v>4.4461678079152689E-2</c:v>
                </c:pt>
                <c:pt idx="72">
                  <c:v>4.5635464319125241E-2</c:v>
                </c:pt>
                <c:pt idx="73">
                  <c:v>4.6825662108641142E-2</c:v>
                </c:pt>
                <c:pt idx="74">
                  <c:v>4.8032279011936962E-2</c:v>
                </c:pt>
                <c:pt idx="75">
                  <c:v>4.9255322593186879E-2</c:v>
                </c:pt>
                <c:pt idx="76">
                  <c:v>5.0494800412473229E-2</c:v>
                </c:pt>
                <c:pt idx="77">
                  <c:v>5.1750720021704E-2</c:v>
                </c:pt>
                <c:pt idx="78">
                  <c:v>5.3023088960498344E-2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DBA-4C09-B81D-86946FDBFF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05684048"/>
        <c:axId val="1105679728"/>
      </c:scatterChart>
      <c:valAx>
        <c:axId val="1352385647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Volatility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38069055"/>
        <c:crosses val="autoZero"/>
        <c:crossBetween val="midCat"/>
        <c:majorUnit val="0.5"/>
      </c:valAx>
      <c:valAx>
        <c:axId val="11380690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52385647"/>
        <c:crosses val="autoZero"/>
        <c:crossBetween val="midCat"/>
      </c:valAx>
      <c:valAx>
        <c:axId val="1105679728"/>
        <c:scaling>
          <c:orientation val="minMax"/>
        </c:scaling>
        <c:delete val="0"/>
        <c:axPos val="r"/>
        <c:numFmt formatCode="0.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5684048"/>
        <c:crosses val="max"/>
        <c:crossBetween val="midCat"/>
      </c:valAx>
      <c:valAx>
        <c:axId val="1105684048"/>
        <c:scaling>
          <c:orientation val="minMax"/>
        </c:scaling>
        <c:delete val="1"/>
        <c:axPos val="b"/>
        <c:numFmt formatCode="0%" sourceLinked="1"/>
        <c:majorTickMark val="out"/>
        <c:minorTickMark val="none"/>
        <c:tickLblPos val="nextTo"/>
        <c:crossAx val="110567972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Delta vs Volatility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008576763822038"/>
          <c:y val="0.10429288404806748"/>
          <c:w val="0.85197729583919002"/>
          <c:h val="0.73604994111012967"/>
        </c:manualLayout>
      </c:layout>
      <c:scatterChart>
        <c:scatterStyle val="lineMarker"/>
        <c:varyColors val="0"/>
        <c:ser>
          <c:idx val="0"/>
          <c:order val="0"/>
          <c:tx>
            <c:strRef>
              <c:f>'Sheet10 (3)'!$S$10</c:f>
              <c:strCache>
                <c:ptCount val="1"/>
                <c:pt idx="0">
                  <c:v>Approximated Straddle</c:v>
                </c:pt>
              </c:strCache>
            </c:strRef>
          </c:tx>
          <c:spPr>
            <a:ln w="25400" cap="rnd">
              <a:solidFill>
                <a:schemeClr val="bg1"/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rgbClr val="FFC000"/>
              </a:solidFill>
              <a:ln w="9525">
                <a:solidFill>
                  <a:schemeClr val="bg1"/>
                </a:solidFill>
              </a:ln>
              <a:effectLst/>
            </c:spPr>
          </c:marker>
          <c:xVal>
            <c:numRef>
              <c:f>'Sheet10 (3)'!$Q$11:$Q$89</c:f>
              <c:numCache>
                <c:formatCode>0%</c:formatCode>
                <c:ptCount val="79"/>
                <c:pt idx="0">
                  <c:v>0.1</c:v>
                </c:pt>
                <c:pt idx="1">
                  <c:v>0.2</c:v>
                </c:pt>
                <c:pt idx="2">
                  <c:v>0.30000000000000004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0.79999999999999993</c:v>
                </c:pt>
                <c:pt idx="8">
                  <c:v>0.89999999999999991</c:v>
                </c:pt>
                <c:pt idx="9">
                  <c:v>0.99999999999999989</c:v>
                </c:pt>
                <c:pt idx="10">
                  <c:v>1.0999999999999999</c:v>
                </c:pt>
                <c:pt idx="11">
                  <c:v>1.2</c:v>
                </c:pt>
                <c:pt idx="12">
                  <c:v>1.3</c:v>
                </c:pt>
                <c:pt idx="13">
                  <c:v>1.4000000000000001</c:v>
                </c:pt>
                <c:pt idx="14">
                  <c:v>1.5000000000000002</c:v>
                </c:pt>
                <c:pt idx="15">
                  <c:v>1.6000000000000003</c:v>
                </c:pt>
                <c:pt idx="16">
                  <c:v>1.7000000000000004</c:v>
                </c:pt>
                <c:pt idx="17">
                  <c:v>1.8000000000000005</c:v>
                </c:pt>
                <c:pt idx="18">
                  <c:v>1.9000000000000006</c:v>
                </c:pt>
                <c:pt idx="19">
                  <c:v>2.0000000000000004</c:v>
                </c:pt>
                <c:pt idx="20">
                  <c:v>2.1000000000000005</c:v>
                </c:pt>
                <c:pt idx="21">
                  <c:v>2.2000000000000006</c:v>
                </c:pt>
                <c:pt idx="22">
                  <c:v>2.3000000000000007</c:v>
                </c:pt>
                <c:pt idx="23">
                  <c:v>2.4000000000000008</c:v>
                </c:pt>
                <c:pt idx="24">
                  <c:v>2.5000000000000009</c:v>
                </c:pt>
                <c:pt idx="25">
                  <c:v>2.600000000000001</c:v>
                </c:pt>
                <c:pt idx="26">
                  <c:v>2.7000000000000011</c:v>
                </c:pt>
                <c:pt idx="27">
                  <c:v>2.8000000000000012</c:v>
                </c:pt>
                <c:pt idx="28">
                  <c:v>2.9000000000000012</c:v>
                </c:pt>
                <c:pt idx="29">
                  <c:v>3.0000000000000013</c:v>
                </c:pt>
                <c:pt idx="30">
                  <c:v>3.1000000000000014</c:v>
                </c:pt>
                <c:pt idx="31">
                  <c:v>3.2000000000000015</c:v>
                </c:pt>
                <c:pt idx="32">
                  <c:v>3.3000000000000016</c:v>
                </c:pt>
                <c:pt idx="33">
                  <c:v>3.4000000000000017</c:v>
                </c:pt>
                <c:pt idx="34">
                  <c:v>3.5000000000000018</c:v>
                </c:pt>
                <c:pt idx="35">
                  <c:v>3.6000000000000019</c:v>
                </c:pt>
                <c:pt idx="36">
                  <c:v>3.700000000000002</c:v>
                </c:pt>
                <c:pt idx="37">
                  <c:v>3.800000000000002</c:v>
                </c:pt>
                <c:pt idx="38">
                  <c:v>3.9000000000000021</c:v>
                </c:pt>
                <c:pt idx="39">
                  <c:v>4.0000000000000018</c:v>
                </c:pt>
                <c:pt idx="40">
                  <c:v>4.1000000000000014</c:v>
                </c:pt>
                <c:pt idx="41">
                  <c:v>4.2000000000000011</c:v>
                </c:pt>
                <c:pt idx="42">
                  <c:v>4.3000000000000007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4.6999999999999993</c:v>
                </c:pt>
                <c:pt idx="47">
                  <c:v>4.7999999999999989</c:v>
                </c:pt>
                <c:pt idx="48">
                  <c:v>4.8999999999999986</c:v>
                </c:pt>
                <c:pt idx="49">
                  <c:v>4.9999999999999982</c:v>
                </c:pt>
                <c:pt idx="50">
                  <c:v>5.0999999999999979</c:v>
                </c:pt>
                <c:pt idx="51">
                  <c:v>5.1999999999999975</c:v>
                </c:pt>
                <c:pt idx="52">
                  <c:v>5.2999999999999972</c:v>
                </c:pt>
                <c:pt idx="53">
                  <c:v>5.3999999999999968</c:v>
                </c:pt>
                <c:pt idx="54">
                  <c:v>5.4999999999999964</c:v>
                </c:pt>
                <c:pt idx="55">
                  <c:v>5.5999999999999961</c:v>
                </c:pt>
                <c:pt idx="56">
                  <c:v>5.6999999999999957</c:v>
                </c:pt>
                <c:pt idx="57">
                  <c:v>5.7999999999999954</c:v>
                </c:pt>
                <c:pt idx="58">
                  <c:v>5.899999999999995</c:v>
                </c:pt>
                <c:pt idx="59">
                  <c:v>5.9999999999999947</c:v>
                </c:pt>
                <c:pt idx="60">
                  <c:v>6.0999999999999943</c:v>
                </c:pt>
                <c:pt idx="61">
                  <c:v>6.199999999999994</c:v>
                </c:pt>
                <c:pt idx="62">
                  <c:v>6.2999999999999936</c:v>
                </c:pt>
                <c:pt idx="63">
                  <c:v>6.3999999999999932</c:v>
                </c:pt>
                <c:pt idx="64">
                  <c:v>6.4999999999999929</c:v>
                </c:pt>
                <c:pt idx="65">
                  <c:v>6.5999999999999925</c:v>
                </c:pt>
                <c:pt idx="66">
                  <c:v>6.6999999999999922</c:v>
                </c:pt>
                <c:pt idx="67">
                  <c:v>6.7999999999999918</c:v>
                </c:pt>
                <c:pt idx="68">
                  <c:v>6.8999999999999915</c:v>
                </c:pt>
                <c:pt idx="69">
                  <c:v>6.9999999999999911</c:v>
                </c:pt>
                <c:pt idx="70">
                  <c:v>7.0999999999999908</c:v>
                </c:pt>
                <c:pt idx="71">
                  <c:v>7.1999999999999904</c:v>
                </c:pt>
                <c:pt idx="72">
                  <c:v>7.2999999999999901</c:v>
                </c:pt>
                <c:pt idx="73">
                  <c:v>7.3999999999999897</c:v>
                </c:pt>
                <c:pt idx="74">
                  <c:v>7.4999999999999893</c:v>
                </c:pt>
                <c:pt idx="75">
                  <c:v>7.599999999999989</c:v>
                </c:pt>
                <c:pt idx="76">
                  <c:v>7.6999999999999886</c:v>
                </c:pt>
                <c:pt idx="77">
                  <c:v>7.7999999999999883</c:v>
                </c:pt>
                <c:pt idx="78">
                  <c:v>7.8999999999999879</c:v>
                </c:pt>
              </c:numCache>
            </c:numRef>
          </c:xVal>
          <c:yVal>
            <c:numRef>
              <c:f>'Sheet10 (3)'!$S$11:$S$89</c:f>
              <c:numCache>
                <c:formatCode>"$"#,##0.00</c:formatCode>
                <c:ptCount val="79"/>
                <c:pt idx="0">
                  <c:v>0.55470019622522915</c:v>
                </c:pt>
                <c:pt idx="1">
                  <c:v>1.1094003924504583</c:v>
                </c:pt>
                <c:pt idx="2">
                  <c:v>1.6641005886756877</c:v>
                </c:pt>
                <c:pt idx="3">
                  <c:v>2.2188007849009166</c:v>
                </c:pt>
                <c:pt idx="4">
                  <c:v>2.773500981126146</c:v>
                </c:pt>
                <c:pt idx="5">
                  <c:v>3.3282011773513749</c:v>
                </c:pt>
                <c:pt idx="6">
                  <c:v>3.8829013735766038</c:v>
                </c:pt>
                <c:pt idx="7">
                  <c:v>4.4376015698018323</c:v>
                </c:pt>
                <c:pt idx="8">
                  <c:v>4.9923017660270625</c:v>
                </c:pt>
                <c:pt idx="9">
                  <c:v>5.5470019622522901</c:v>
                </c:pt>
                <c:pt idx="10">
                  <c:v>6.1017021584775195</c:v>
                </c:pt>
                <c:pt idx="11">
                  <c:v>6.6564023547027498</c:v>
                </c:pt>
                <c:pt idx="12">
                  <c:v>7.2111025509279791</c:v>
                </c:pt>
                <c:pt idx="13">
                  <c:v>7.7658027471532094</c:v>
                </c:pt>
                <c:pt idx="14">
                  <c:v>8.3205029433784379</c:v>
                </c:pt>
                <c:pt idx="15">
                  <c:v>8.8752031396036681</c:v>
                </c:pt>
                <c:pt idx="16">
                  <c:v>9.4299033358288966</c:v>
                </c:pt>
                <c:pt idx="17">
                  <c:v>9.9846035320541269</c:v>
                </c:pt>
                <c:pt idx="18">
                  <c:v>10.539303728279357</c:v>
                </c:pt>
                <c:pt idx="19">
                  <c:v>11.094003924504586</c:v>
                </c:pt>
                <c:pt idx="20">
                  <c:v>11.648704120729816</c:v>
                </c:pt>
                <c:pt idx="21">
                  <c:v>12.203404316955044</c:v>
                </c:pt>
                <c:pt idx="22">
                  <c:v>12.758104513180275</c:v>
                </c:pt>
                <c:pt idx="23">
                  <c:v>13.312804709405503</c:v>
                </c:pt>
                <c:pt idx="24">
                  <c:v>13.867504905630733</c:v>
                </c:pt>
                <c:pt idx="25">
                  <c:v>14.422205101855964</c:v>
                </c:pt>
                <c:pt idx="26">
                  <c:v>14.976905298081192</c:v>
                </c:pt>
                <c:pt idx="27">
                  <c:v>15.531605494306422</c:v>
                </c:pt>
                <c:pt idx="28">
                  <c:v>16.086305690531653</c:v>
                </c:pt>
                <c:pt idx="29">
                  <c:v>16.641005886756883</c:v>
                </c:pt>
                <c:pt idx="30">
                  <c:v>17.195706082982113</c:v>
                </c:pt>
                <c:pt idx="31">
                  <c:v>17.75040627920734</c:v>
                </c:pt>
                <c:pt idx="32">
                  <c:v>18.30510647543257</c:v>
                </c:pt>
                <c:pt idx="33">
                  <c:v>18.8598066716578</c:v>
                </c:pt>
                <c:pt idx="34">
                  <c:v>19.414506867883027</c:v>
                </c:pt>
                <c:pt idx="35">
                  <c:v>19.969207064108261</c:v>
                </c:pt>
                <c:pt idx="36">
                  <c:v>20.523907260333491</c:v>
                </c:pt>
                <c:pt idx="37">
                  <c:v>21.078607456558718</c:v>
                </c:pt>
                <c:pt idx="38">
                  <c:v>21.633307652783948</c:v>
                </c:pt>
                <c:pt idx="39">
                  <c:v>22.188007849009175</c:v>
                </c:pt>
                <c:pt idx="40">
                  <c:v>22.742708045234401</c:v>
                </c:pt>
                <c:pt idx="41">
                  <c:v>23.297408241459632</c:v>
                </c:pt>
                <c:pt idx="42">
                  <c:v>23.852108437684858</c:v>
                </c:pt>
                <c:pt idx="43">
                  <c:v>24.406808633910082</c:v>
                </c:pt>
                <c:pt idx="44">
                  <c:v>24.961508830135312</c:v>
                </c:pt>
                <c:pt idx="45">
                  <c:v>25.516209026360542</c:v>
                </c:pt>
                <c:pt idx="46">
                  <c:v>26.070909222585765</c:v>
                </c:pt>
                <c:pt idx="47">
                  <c:v>26.625609418810992</c:v>
                </c:pt>
                <c:pt idx="48">
                  <c:v>27.180309615036219</c:v>
                </c:pt>
                <c:pt idx="49">
                  <c:v>27.735009811261449</c:v>
                </c:pt>
                <c:pt idx="50">
                  <c:v>28.289710007486676</c:v>
                </c:pt>
                <c:pt idx="51">
                  <c:v>28.844410203711899</c:v>
                </c:pt>
                <c:pt idx="52">
                  <c:v>29.399110399937129</c:v>
                </c:pt>
                <c:pt idx="53">
                  <c:v>29.953810596162359</c:v>
                </c:pt>
                <c:pt idx="54">
                  <c:v>30.508510792387582</c:v>
                </c:pt>
                <c:pt idx="55">
                  <c:v>31.063210988612809</c:v>
                </c:pt>
                <c:pt idx="56">
                  <c:v>31.617911184838039</c:v>
                </c:pt>
                <c:pt idx="57">
                  <c:v>32.17261138106327</c:v>
                </c:pt>
                <c:pt idx="58">
                  <c:v>32.727311577288489</c:v>
                </c:pt>
                <c:pt idx="59">
                  <c:v>33.282011773513716</c:v>
                </c:pt>
                <c:pt idx="60">
                  <c:v>33.83671196973895</c:v>
                </c:pt>
                <c:pt idx="61">
                  <c:v>34.391412165964176</c:v>
                </c:pt>
                <c:pt idx="62">
                  <c:v>34.946112362189403</c:v>
                </c:pt>
                <c:pt idx="63">
                  <c:v>35.500812558414623</c:v>
                </c:pt>
                <c:pt idx="64">
                  <c:v>36.055512754639857</c:v>
                </c:pt>
                <c:pt idx="65">
                  <c:v>36.610212950865083</c:v>
                </c:pt>
                <c:pt idx="66">
                  <c:v>37.164913147090303</c:v>
                </c:pt>
                <c:pt idx="67">
                  <c:v>37.719613343315537</c:v>
                </c:pt>
                <c:pt idx="68">
                  <c:v>38.274313539540763</c:v>
                </c:pt>
                <c:pt idx="69">
                  <c:v>38.82901373576599</c:v>
                </c:pt>
                <c:pt idx="70">
                  <c:v>39.383713931991224</c:v>
                </c:pt>
                <c:pt idx="71">
                  <c:v>39.938414128216444</c:v>
                </c:pt>
                <c:pt idx="72">
                  <c:v>40.49311432444167</c:v>
                </c:pt>
                <c:pt idx="73">
                  <c:v>41.047814520666904</c:v>
                </c:pt>
                <c:pt idx="74">
                  <c:v>41.602514716892124</c:v>
                </c:pt>
                <c:pt idx="75">
                  <c:v>42.15721491311735</c:v>
                </c:pt>
                <c:pt idx="76">
                  <c:v>42.711915109342584</c:v>
                </c:pt>
                <c:pt idx="77">
                  <c:v>43.266615305567811</c:v>
                </c:pt>
                <c:pt idx="78">
                  <c:v>43.821315501793038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C06-417D-A7AE-C09FE91A19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52385647"/>
        <c:axId val="1138069055"/>
      </c:scatterChart>
      <c:valAx>
        <c:axId val="1352385647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Volatility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38069055"/>
        <c:crosses val="autoZero"/>
        <c:crossBetween val="midCat"/>
        <c:majorUnit val="0.25"/>
      </c:valAx>
      <c:valAx>
        <c:axId val="1138069055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5238564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Call Price vs Volatility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008576763822038"/>
          <c:y val="0.10429288404806748"/>
          <c:w val="0.85197729583919002"/>
          <c:h val="0.73604994111012967"/>
        </c:manualLayout>
      </c:layout>
      <c:scatterChart>
        <c:scatterStyle val="lineMarker"/>
        <c:varyColors val="0"/>
        <c:ser>
          <c:idx val="0"/>
          <c:order val="0"/>
          <c:tx>
            <c:strRef>
              <c:f>'Sheet10 (3)'!$T$10</c:f>
              <c:strCache>
                <c:ptCount val="1"/>
                <c:pt idx="0">
                  <c:v>Error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rgbClr val="00B050"/>
              </a:solidFill>
              <a:ln w="9525">
                <a:solidFill>
                  <a:schemeClr val="bg1"/>
                </a:solidFill>
              </a:ln>
              <a:effectLst/>
            </c:spPr>
          </c:marker>
          <c:xVal>
            <c:numRef>
              <c:f>'Sheet10 (3)'!$Q$11:$Q$89</c:f>
              <c:numCache>
                <c:formatCode>0%</c:formatCode>
                <c:ptCount val="79"/>
                <c:pt idx="0">
                  <c:v>0.1</c:v>
                </c:pt>
                <c:pt idx="1">
                  <c:v>0.2</c:v>
                </c:pt>
                <c:pt idx="2">
                  <c:v>0.30000000000000004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0.79999999999999993</c:v>
                </c:pt>
                <c:pt idx="8">
                  <c:v>0.89999999999999991</c:v>
                </c:pt>
                <c:pt idx="9">
                  <c:v>0.99999999999999989</c:v>
                </c:pt>
                <c:pt idx="10">
                  <c:v>1.0999999999999999</c:v>
                </c:pt>
                <c:pt idx="11">
                  <c:v>1.2</c:v>
                </c:pt>
                <c:pt idx="12">
                  <c:v>1.3</c:v>
                </c:pt>
                <c:pt idx="13">
                  <c:v>1.4000000000000001</c:v>
                </c:pt>
                <c:pt idx="14">
                  <c:v>1.5000000000000002</c:v>
                </c:pt>
                <c:pt idx="15">
                  <c:v>1.6000000000000003</c:v>
                </c:pt>
                <c:pt idx="16">
                  <c:v>1.7000000000000004</c:v>
                </c:pt>
                <c:pt idx="17">
                  <c:v>1.8000000000000005</c:v>
                </c:pt>
                <c:pt idx="18">
                  <c:v>1.9000000000000006</c:v>
                </c:pt>
                <c:pt idx="19">
                  <c:v>2.0000000000000004</c:v>
                </c:pt>
                <c:pt idx="20">
                  <c:v>2.1000000000000005</c:v>
                </c:pt>
                <c:pt idx="21">
                  <c:v>2.2000000000000006</c:v>
                </c:pt>
                <c:pt idx="22">
                  <c:v>2.3000000000000007</c:v>
                </c:pt>
                <c:pt idx="23">
                  <c:v>2.4000000000000008</c:v>
                </c:pt>
                <c:pt idx="24">
                  <c:v>2.5000000000000009</c:v>
                </c:pt>
                <c:pt idx="25">
                  <c:v>2.600000000000001</c:v>
                </c:pt>
                <c:pt idx="26">
                  <c:v>2.7000000000000011</c:v>
                </c:pt>
                <c:pt idx="27">
                  <c:v>2.8000000000000012</c:v>
                </c:pt>
                <c:pt idx="28">
                  <c:v>2.9000000000000012</c:v>
                </c:pt>
                <c:pt idx="29">
                  <c:v>3.0000000000000013</c:v>
                </c:pt>
                <c:pt idx="30">
                  <c:v>3.1000000000000014</c:v>
                </c:pt>
                <c:pt idx="31">
                  <c:v>3.2000000000000015</c:v>
                </c:pt>
                <c:pt idx="32">
                  <c:v>3.3000000000000016</c:v>
                </c:pt>
                <c:pt idx="33">
                  <c:v>3.4000000000000017</c:v>
                </c:pt>
                <c:pt idx="34">
                  <c:v>3.5000000000000018</c:v>
                </c:pt>
                <c:pt idx="35">
                  <c:v>3.6000000000000019</c:v>
                </c:pt>
                <c:pt idx="36">
                  <c:v>3.700000000000002</c:v>
                </c:pt>
                <c:pt idx="37">
                  <c:v>3.800000000000002</c:v>
                </c:pt>
                <c:pt idx="38">
                  <c:v>3.9000000000000021</c:v>
                </c:pt>
                <c:pt idx="39">
                  <c:v>4.0000000000000018</c:v>
                </c:pt>
                <c:pt idx="40">
                  <c:v>4.1000000000000014</c:v>
                </c:pt>
                <c:pt idx="41">
                  <c:v>4.2000000000000011</c:v>
                </c:pt>
                <c:pt idx="42">
                  <c:v>4.3000000000000007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4.6999999999999993</c:v>
                </c:pt>
                <c:pt idx="47">
                  <c:v>4.7999999999999989</c:v>
                </c:pt>
                <c:pt idx="48">
                  <c:v>4.8999999999999986</c:v>
                </c:pt>
                <c:pt idx="49">
                  <c:v>4.9999999999999982</c:v>
                </c:pt>
                <c:pt idx="50">
                  <c:v>5.0999999999999979</c:v>
                </c:pt>
                <c:pt idx="51">
                  <c:v>5.1999999999999975</c:v>
                </c:pt>
                <c:pt idx="52">
                  <c:v>5.2999999999999972</c:v>
                </c:pt>
                <c:pt idx="53">
                  <c:v>5.3999999999999968</c:v>
                </c:pt>
                <c:pt idx="54">
                  <c:v>5.4999999999999964</c:v>
                </c:pt>
                <c:pt idx="55">
                  <c:v>5.5999999999999961</c:v>
                </c:pt>
                <c:pt idx="56">
                  <c:v>5.6999999999999957</c:v>
                </c:pt>
                <c:pt idx="57">
                  <c:v>5.7999999999999954</c:v>
                </c:pt>
                <c:pt idx="58">
                  <c:v>5.899999999999995</c:v>
                </c:pt>
                <c:pt idx="59">
                  <c:v>5.9999999999999947</c:v>
                </c:pt>
                <c:pt idx="60">
                  <c:v>6.0999999999999943</c:v>
                </c:pt>
                <c:pt idx="61">
                  <c:v>6.199999999999994</c:v>
                </c:pt>
                <c:pt idx="62">
                  <c:v>6.2999999999999936</c:v>
                </c:pt>
                <c:pt idx="63">
                  <c:v>6.3999999999999932</c:v>
                </c:pt>
                <c:pt idx="64">
                  <c:v>6.4999999999999929</c:v>
                </c:pt>
                <c:pt idx="65">
                  <c:v>6.5999999999999925</c:v>
                </c:pt>
                <c:pt idx="66">
                  <c:v>6.6999999999999922</c:v>
                </c:pt>
                <c:pt idx="67">
                  <c:v>6.7999999999999918</c:v>
                </c:pt>
                <c:pt idx="68">
                  <c:v>6.8999999999999915</c:v>
                </c:pt>
                <c:pt idx="69">
                  <c:v>6.9999999999999911</c:v>
                </c:pt>
                <c:pt idx="70">
                  <c:v>7.0999999999999908</c:v>
                </c:pt>
                <c:pt idx="71">
                  <c:v>7.1999999999999904</c:v>
                </c:pt>
                <c:pt idx="72">
                  <c:v>7.2999999999999901</c:v>
                </c:pt>
                <c:pt idx="73">
                  <c:v>7.3999999999999897</c:v>
                </c:pt>
                <c:pt idx="74">
                  <c:v>7.4999999999999893</c:v>
                </c:pt>
                <c:pt idx="75">
                  <c:v>7.599999999999989</c:v>
                </c:pt>
                <c:pt idx="76">
                  <c:v>7.6999999999999886</c:v>
                </c:pt>
                <c:pt idx="77">
                  <c:v>7.7999999999999883</c:v>
                </c:pt>
                <c:pt idx="78">
                  <c:v>7.8999999999999879</c:v>
                </c:pt>
              </c:numCache>
            </c:numRef>
          </c:xVal>
          <c:yVal>
            <c:numRef>
              <c:f>'Sheet10 (3)'!$T$11:$T$89</c:f>
              <c:numCache>
                <c:formatCode>0.0%</c:formatCode>
                <c:ptCount val="79"/>
                <c:pt idx="0">
                  <c:v>2.6593439238280503E-3</c:v>
                </c:pt>
                <c:pt idx="1">
                  <c:v>2.6834462153169092E-3</c:v>
                </c:pt>
                <c:pt idx="2">
                  <c:v>2.7236169586177805E-3</c:v>
                </c:pt>
                <c:pt idx="3">
                  <c:v>2.7798565398016173E-3</c:v>
                </c:pt>
                <c:pt idx="4">
                  <c:v>2.8521654991722212E-3</c:v>
                </c:pt>
                <c:pt idx="5">
                  <c:v>2.9405445310599632E-3</c:v>
                </c:pt>
                <c:pt idx="6">
                  <c:v>3.0449944835826415E-3</c:v>
                </c:pt>
                <c:pt idx="7">
                  <c:v>3.1655163582671175E-3</c:v>
                </c:pt>
                <c:pt idx="8">
                  <c:v>3.3021113097124744E-3</c:v>
                </c:pt>
                <c:pt idx="9">
                  <c:v>3.4547806451510343E-3</c:v>
                </c:pt>
                <c:pt idx="10">
                  <c:v>3.6235258239354362E-3</c:v>
                </c:pt>
                <c:pt idx="11">
                  <c:v>3.8083484569997328E-3</c:v>
                </c:pt>
                <c:pt idx="12">
                  <c:v>4.0092503062316709E-3</c:v>
                </c:pt>
                <c:pt idx="13">
                  <c:v>4.2262332838196581E-3</c:v>
                </c:pt>
                <c:pt idx="14">
                  <c:v>4.4592994515111339E-3</c:v>
                </c:pt>
                <c:pt idx="15">
                  <c:v>4.7084510198349694E-3</c:v>
                </c:pt>
                <c:pt idx="16">
                  <c:v>4.9736903472481497E-3</c:v>
                </c:pt>
                <c:pt idx="17">
                  <c:v>5.2550199392453756E-3</c:v>
                </c:pt>
                <c:pt idx="18">
                  <c:v>5.5524424473822886E-3</c:v>
                </c:pt>
                <c:pt idx="19">
                  <c:v>5.8659606682804899E-3</c:v>
                </c:pt>
                <c:pt idx="20">
                  <c:v>6.1955775425244219E-3</c:v>
                </c:pt>
                <c:pt idx="21">
                  <c:v>6.5412961535455949E-3</c:v>
                </c:pt>
                <c:pt idx="22">
                  <c:v>6.9031197264288746E-3</c:v>
                </c:pt>
                <c:pt idx="23">
                  <c:v>7.2810516266610392E-3</c:v>
                </c:pt>
                <c:pt idx="24">
                  <c:v>7.6750953588224924E-3</c:v>
                </c:pt>
                <c:pt idx="25">
                  <c:v>8.0852545652276842E-3</c:v>
                </c:pt>
                <c:pt idx="26">
                  <c:v>8.5115330245009169E-3</c:v>
                </c:pt>
                <c:pt idx="27">
                  <c:v>8.9539346500988604E-3</c:v>
                </c:pt>
                <c:pt idx="28">
                  <c:v>9.4124634887804426E-3</c:v>
                </c:pt>
                <c:pt idx="29">
                  <c:v>9.8871237190016892E-3</c:v>
                </c:pt>
                <c:pt idx="30">
                  <c:v>1.0377919649280587E-2</c:v>
                </c:pt>
                <c:pt idx="31">
                  <c:v>1.0884855716481345E-2</c:v>
                </c:pt>
                <c:pt idx="32">
                  <c:v>1.1407936484055581E-2</c:v>
                </c:pt>
                <c:pt idx="33">
                  <c:v>1.194716664022577E-2</c:v>
                </c:pt>
                <c:pt idx="34">
                  <c:v>1.2502550996098316E-2</c:v>
                </c:pt>
                <c:pt idx="35">
                  <c:v>1.3074094483746634E-2</c:v>
                </c:pt>
                <c:pt idx="36">
                  <c:v>1.3661802154212754E-2</c:v>
                </c:pt>
                <c:pt idx="37">
                  <c:v>1.4265679175464951E-2</c:v>
                </c:pt>
                <c:pt idx="38">
                  <c:v>1.4885730830303645E-2</c:v>
                </c:pt>
                <c:pt idx="39">
                  <c:v>1.5521962514195353E-2</c:v>
                </c:pt>
                <c:pt idx="40">
                  <c:v>1.617437973307112E-2</c:v>
                </c:pt>
                <c:pt idx="41">
                  <c:v>1.6842988101054779E-2</c:v>
                </c:pt>
                <c:pt idx="42">
                  <c:v>1.7527793338142139E-2</c:v>
                </c:pt>
                <c:pt idx="43">
                  <c:v>1.8228801267828665E-2</c:v>
                </c:pt>
                <c:pt idx="44">
                  <c:v>1.8946017814670091E-2</c:v>
                </c:pt>
                <c:pt idx="45">
                  <c:v>1.9679449001804628E-2</c:v>
                </c:pt>
                <c:pt idx="46">
                  <c:v>2.0429100948406109E-2</c:v>
                </c:pt>
                <c:pt idx="47">
                  <c:v>2.1194979867094732E-2</c:v>
                </c:pt>
                <c:pt idx="48">
                  <c:v>2.1977092061284065E-2</c:v>
                </c:pt>
                <c:pt idx="49">
                  <c:v>2.2775443922482985E-2</c:v>
                </c:pt>
                <c:pt idx="50">
                  <c:v>2.3590041927537442E-2</c:v>
                </c:pt>
                <c:pt idx="51">
                  <c:v>2.44208926358227E-2</c:v>
                </c:pt>
                <c:pt idx="52">
                  <c:v>2.526800268638163E-2</c:v>
                </c:pt>
                <c:pt idx="53">
                  <c:v>2.6131378795009041E-2</c:v>
                </c:pt>
                <c:pt idx="54">
                  <c:v>2.7011027751285166E-2</c:v>
                </c:pt>
                <c:pt idx="55">
                  <c:v>2.7906956415559847E-2</c:v>
                </c:pt>
                <c:pt idx="56">
                  <c:v>2.8819171715875003E-2</c:v>
                </c:pt>
                <c:pt idx="57">
                  <c:v>2.9747680644847563E-2</c:v>
                </c:pt>
                <c:pt idx="58">
                  <c:v>3.0692490256492899E-2</c:v>
                </c:pt>
                <c:pt idx="59">
                  <c:v>3.165360766300096E-2</c:v>
                </c:pt>
                <c:pt idx="60">
                  <c:v>3.2631040031460889E-2</c:v>
                </c:pt>
                <c:pt idx="61">
                  <c:v>3.3624794580533912E-2</c:v>
                </c:pt>
                <c:pt idx="62">
                  <c:v>3.463487857707892E-2</c:v>
                </c:pt>
                <c:pt idx="63">
                  <c:v>3.566129933272677E-2</c:v>
                </c:pt>
                <c:pt idx="64">
                  <c:v>3.6704064200404396E-2</c:v>
                </c:pt>
                <c:pt idx="65">
                  <c:v>3.7763180570813848E-2</c:v>
                </c:pt>
                <c:pt idx="66">
                  <c:v>3.8838655868857153E-2</c:v>
                </c:pt>
                <c:pt idx="67">
                  <c:v>3.9930497550019206E-2</c:v>
                </c:pt>
                <c:pt idx="68">
                  <c:v>4.1038713096696489E-2</c:v>
                </c:pt>
                <c:pt idx="69">
                  <c:v>4.2163310014484923E-2</c:v>
                </c:pt>
                <c:pt idx="70">
                  <c:v>4.3304295828417771E-2</c:v>
                </c:pt>
                <c:pt idx="71">
                  <c:v>4.4461678079152689E-2</c:v>
                </c:pt>
                <c:pt idx="72">
                  <c:v>4.5635464319125241E-2</c:v>
                </c:pt>
                <c:pt idx="73">
                  <c:v>4.6825662108641142E-2</c:v>
                </c:pt>
                <c:pt idx="74">
                  <c:v>4.8032279011936962E-2</c:v>
                </c:pt>
                <c:pt idx="75">
                  <c:v>4.9255322593186879E-2</c:v>
                </c:pt>
                <c:pt idx="76">
                  <c:v>5.0494800412473229E-2</c:v>
                </c:pt>
                <c:pt idx="77">
                  <c:v>5.1750720021704E-2</c:v>
                </c:pt>
                <c:pt idx="78">
                  <c:v>5.3023088960498344E-2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3B0-486D-9E80-D22A1C0E4E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52385647"/>
        <c:axId val="1138069055"/>
      </c:scatterChart>
      <c:valAx>
        <c:axId val="1352385647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Volatility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38069055"/>
        <c:crosses val="autoZero"/>
        <c:crossBetween val="midCat"/>
        <c:majorUnit val="0.25"/>
      </c:valAx>
      <c:valAx>
        <c:axId val="11380690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5238564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986012002480515"/>
          <c:y val="0.10250932762129839"/>
          <c:w val="0.84220292230879379"/>
          <c:h val="0.73783335311700338"/>
        </c:manualLayout>
      </c:layout>
      <c:scatterChart>
        <c:scatterStyle val="lineMarker"/>
        <c:varyColors val="0"/>
        <c:ser>
          <c:idx val="0"/>
          <c:order val="0"/>
          <c:tx>
            <c:strRef>
              <c:f>'Sheet10 (3)'!$R$10</c:f>
              <c:strCache>
                <c:ptCount val="1"/>
                <c:pt idx="0">
                  <c:v>Black-Scholes Straddle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'Sheet10 (3)'!$Q$11:$Q$89</c:f>
              <c:numCache>
                <c:formatCode>0%</c:formatCode>
                <c:ptCount val="79"/>
                <c:pt idx="0">
                  <c:v>0.1</c:v>
                </c:pt>
                <c:pt idx="1">
                  <c:v>0.2</c:v>
                </c:pt>
                <c:pt idx="2">
                  <c:v>0.30000000000000004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0.79999999999999993</c:v>
                </c:pt>
                <c:pt idx="8">
                  <c:v>0.89999999999999991</c:v>
                </c:pt>
                <c:pt idx="9">
                  <c:v>0.99999999999999989</c:v>
                </c:pt>
                <c:pt idx="10">
                  <c:v>1.0999999999999999</c:v>
                </c:pt>
                <c:pt idx="11">
                  <c:v>1.2</c:v>
                </c:pt>
                <c:pt idx="12">
                  <c:v>1.3</c:v>
                </c:pt>
                <c:pt idx="13">
                  <c:v>1.4000000000000001</c:v>
                </c:pt>
                <c:pt idx="14">
                  <c:v>1.5000000000000002</c:v>
                </c:pt>
                <c:pt idx="15">
                  <c:v>1.6000000000000003</c:v>
                </c:pt>
                <c:pt idx="16">
                  <c:v>1.7000000000000004</c:v>
                </c:pt>
                <c:pt idx="17">
                  <c:v>1.8000000000000005</c:v>
                </c:pt>
                <c:pt idx="18">
                  <c:v>1.9000000000000006</c:v>
                </c:pt>
                <c:pt idx="19">
                  <c:v>2.0000000000000004</c:v>
                </c:pt>
                <c:pt idx="20">
                  <c:v>2.1000000000000005</c:v>
                </c:pt>
                <c:pt idx="21">
                  <c:v>2.2000000000000006</c:v>
                </c:pt>
                <c:pt idx="22">
                  <c:v>2.3000000000000007</c:v>
                </c:pt>
                <c:pt idx="23">
                  <c:v>2.4000000000000008</c:v>
                </c:pt>
                <c:pt idx="24">
                  <c:v>2.5000000000000009</c:v>
                </c:pt>
                <c:pt idx="25">
                  <c:v>2.600000000000001</c:v>
                </c:pt>
                <c:pt idx="26">
                  <c:v>2.7000000000000011</c:v>
                </c:pt>
                <c:pt idx="27">
                  <c:v>2.8000000000000012</c:v>
                </c:pt>
                <c:pt idx="28">
                  <c:v>2.9000000000000012</c:v>
                </c:pt>
                <c:pt idx="29">
                  <c:v>3.0000000000000013</c:v>
                </c:pt>
                <c:pt idx="30">
                  <c:v>3.1000000000000014</c:v>
                </c:pt>
                <c:pt idx="31">
                  <c:v>3.2000000000000015</c:v>
                </c:pt>
                <c:pt idx="32">
                  <c:v>3.3000000000000016</c:v>
                </c:pt>
                <c:pt idx="33">
                  <c:v>3.4000000000000017</c:v>
                </c:pt>
                <c:pt idx="34">
                  <c:v>3.5000000000000018</c:v>
                </c:pt>
                <c:pt idx="35">
                  <c:v>3.6000000000000019</c:v>
                </c:pt>
                <c:pt idx="36">
                  <c:v>3.700000000000002</c:v>
                </c:pt>
                <c:pt idx="37">
                  <c:v>3.800000000000002</c:v>
                </c:pt>
                <c:pt idx="38">
                  <c:v>3.9000000000000021</c:v>
                </c:pt>
                <c:pt idx="39">
                  <c:v>4.0000000000000018</c:v>
                </c:pt>
                <c:pt idx="40">
                  <c:v>4.1000000000000014</c:v>
                </c:pt>
                <c:pt idx="41">
                  <c:v>4.2000000000000011</c:v>
                </c:pt>
                <c:pt idx="42">
                  <c:v>4.3000000000000007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4.6999999999999993</c:v>
                </c:pt>
                <c:pt idx="47">
                  <c:v>4.7999999999999989</c:v>
                </c:pt>
                <c:pt idx="48">
                  <c:v>4.8999999999999986</c:v>
                </c:pt>
                <c:pt idx="49">
                  <c:v>4.9999999999999982</c:v>
                </c:pt>
                <c:pt idx="50">
                  <c:v>5.0999999999999979</c:v>
                </c:pt>
                <c:pt idx="51">
                  <c:v>5.1999999999999975</c:v>
                </c:pt>
                <c:pt idx="52">
                  <c:v>5.2999999999999972</c:v>
                </c:pt>
                <c:pt idx="53">
                  <c:v>5.3999999999999968</c:v>
                </c:pt>
                <c:pt idx="54">
                  <c:v>5.4999999999999964</c:v>
                </c:pt>
                <c:pt idx="55">
                  <c:v>5.5999999999999961</c:v>
                </c:pt>
                <c:pt idx="56">
                  <c:v>5.6999999999999957</c:v>
                </c:pt>
                <c:pt idx="57">
                  <c:v>5.7999999999999954</c:v>
                </c:pt>
                <c:pt idx="58">
                  <c:v>5.899999999999995</c:v>
                </c:pt>
                <c:pt idx="59">
                  <c:v>5.9999999999999947</c:v>
                </c:pt>
                <c:pt idx="60">
                  <c:v>6.0999999999999943</c:v>
                </c:pt>
                <c:pt idx="61">
                  <c:v>6.199999999999994</c:v>
                </c:pt>
                <c:pt idx="62">
                  <c:v>6.2999999999999936</c:v>
                </c:pt>
                <c:pt idx="63">
                  <c:v>6.3999999999999932</c:v>
                </c:pt>
                <c:pt idx="64">
                  <c:v>6.4999999999999929</c:v>
                </c:pt>
                <c:pt idx="65">
                  <c:v>6.5999999999999925</c:v>
                </c:pt>
                <c:pt idx="66">
                  <c:v>6.6999999999999922</c:v>
                </c:pt>
                <c:pt idx="67">
                  <c:v>6.7999999999999918</c:v>
                </c:pt>
                <c:pt idx="68">
                  <c:v>6.8999999999999915</c:v>
                </c:pt>
                <c:pt idx="69">
                  <c:v>6.9999999999999911</c:v>
                </c:pt>
                <c:pt idx="70">
                  <c:v>7.0999999999999908</c:v>
                </c:pt>
                <c:pt idx="71">
                  <c:v>7.1999999999999904</c:v>
                </c:pt>
                <c:pt idx="72">
                  <c:v>7.2999999999999901</c:v>
                </c:pt>
                <c:pt idx="73">
                  <c:v>7.3999999999999897</c:v>
                </c:pt>
                <c:pt idx="74">
                  <c:v>7.4999999999999893</c:v>
                </c:pt>
                <c:pt idx="75">
                  <c:v>7.599999999999989</c:v>
                </c:pt>
                <c:pt idx="76">
                  <c:v>7.6999999999999886</c:v>
                </c:pt>
                <c:pt idx="77">
                  <c:v>7.7999999999999883</c:v>
                </c:pt>
                <c:pt idx="78">
                  <c:v>7.8999999999999879</c:v>
                </c:pt>
              </c:numCache>
            </c:numRef>
          </c:xVal>
          <c:yVal>
            <c:numRef>
              <c:f>'Sheet10 (3)'!$R$11:$R$89</c:f>
              <c:numCache>
                <c:formatCode>"$"#,##0.00</c:formatCode>
                <c:ptCount val="79"/>
                <c:pt idx="0">
                  <c:v>0.55322897012504146</c:v>
                </c:pt>
                <c:pt idx="1">
                  <c:v>1.1064313434493711</c:v>
                </c:pt>
                <c:pt idx="2">
                  <c:v>1.6595805270081365</c:v>
                </c:pt>
                <c:pt idx="3">
                  <c:v>2.2126499355074047</c:v>
                </c:pt>
                <c:pt idx="4">
                  <c:v>2.7656129951572961</c:v>
                </c:pt>
                <c:pt idx="5">
                  <c:v>3.3184431475023537</c:v>
                </c:pt>
                <c:pt idx="6">
                  <c:v>3.8711138532481426</c:v>
                </c:pt>
                <c:pt idx="7">
                  <c:v>4.4235985960835222</c:v>
                </c:pt>
                <c:pt idx="8">
                  <c:v>4.9758708864970913</c:v>
                </c:pt>
                <c:pt idx="9">
                  <c:v>5.5279042655872912</c:v>
                </c:pt>
                <c:pt idx="10">
                  <c:v>6.0796723088652804</c:v>
                </c:pt>
                <c:pt idx="11">
                  <c:v>6.6311486300493661</c:v>
                </c:pt>
                <c:pt idx="12">
                  <c:v>7.1823068848504423</c:v>
                </c:pt>
                <c:pt idx="13">
                  <c:v>7.7331207747471762</c:v>
                </c:pt>
                <c:pt idx="14">
                  <c:v>8.2835640507503694</c:v>
                </c:pt>
                <c:pt idx="15">
                  <c:v>8.8336105171553427</c:v>
                </c:pt>
                <c:pt idx="16">
                  <c:v>9.3832340352816459</c:v>
                </c:pt>
                <c:pt idx="17">
                  <c:v>9.9324085271989659</c:v>
                </c:pt>
                <c:pt idx="18">
                  <c:v>10.481107979438725</c:v>
                </c:pt>
                <c:pt idx="19">
                  <c:v>11.02930644668989</c:v>
                </c:pt>
                <c:pt idx="20">
                  <c:v>11.576978055478993</c:v>
                </c:pt>
                <c:pt idx="21">
                  <c:v>12.124097007832496</c:v>
                </c:pt>
                <c:pt idx="22">
                  <c:v>12.670637584921373</c:v>
                </c:pt>
                <c:pt idx="23">
                  <c:v>13.21657415068676</c:v>
                </c:pt>
                <c:pt idx="24">
                  <c:v>13.761881155445904</c:v>
                </c:pt>
                <c:pt idx="25">
                  <c:v>14.306533139477423</c:v>
                </c:pt>
                <c:pt idx="26">
                  <c:v>14.85050473658524</c:v>
                </c:pt>
                <c:pt idx="27">
                  <c:v>15.393770677640223</c:v>
                </c:pt>
                <c:pt idx="28">
                  <c:v>15.93630579409866</c:v>
                </c:pt>
                <c:pt idx="29">
                  <c:v>16.478085021497112</c:v>
                </c:pt>
                <c:pt idx="30">
                  <c:v>17.019083402922181</c:v>
                </c:pt>
                <c:pt idx="31">
                  <c:v>17.559276092455107</c:v>
                </c:pt>
                <c:pt idx="32">
                  <c:v>18.098638358589884</c:v>
                </c:pt>
                <c:pt idx="33">
                  <c:v>18.637145587624303</c:v>
                </c:pt>
                <c:pt idx="34">
                  <c:v>19.174773287023395</c:v>
                </c:pt>
                <c:pt idx="35">
                  <c:v>19.711497088753799</c:v>
                </c:pt>
                <c:pt idx="36">
                  <c:v>20.247292752589193</c:v>
                </c:pt>
                <c:pt idx="37">
                  <c:v>20.782136169385439</c:v>
                </c:pt>
                <c:pt idx="38">
                  <c:v>21.316003364324764</c:v>
                </c:pt>
                <c:pt idx="39">
                  <c:v>21.848870500128669</c:v>
                </c:pt>
                <c:pt idx="40">
                  <c:v>22.380713880238211</c:v>
                </c:pt>
                <c:pt idx="41">
                  <c:v>22.911509951961545</c:v>
                </c:pt>
                <c:pt idx="42">
                  <c:v>23.441235309587643</c:v>
                </c:pt>
                <c:pt idx="43">
                  <c:v>23.969866697465637</c:v>
                </c:pt>
                <c:pt idx="44">
                  <c:v>24.497381013049317</c:v>
                </c:pt>
                <c:pt idx="45">
                  <c:v>25.023755309905617</c:v>
                </c:pt>
                <c:pt idx="46">
                  <c:v>25.548966800687051</c:v>
                </c:pt>
                <c:pt idx="47">
                  <c:v>26.072992860066968</c:v>
                </c:pt>
                <c:pt idx="48">
                  <c:v>26.595811027637321</c:v>
                </c:pt>
                <c:pt idx="49">
                  <c:v>27.117399010768107</c:v>
                </c:pt>
                <c:pt idx="50">
                  <c:v>27.637734687428093</c:v>
                </c:pt>
                <c:pt idx="51">
                  <c:v>28.156796108966088</c:v>
                </c:pt>
                <c:pt idx="52">
                  <c:v>28.674561502852246</c:v>
                </c:pt>
                <c:pt idx="53">
                  <c:v>29.191009275378811</c:v>
                </c:pt>
                <c:pt idx="54">
                  <c:v>29.706118014319838</c:v>
                </c:pt>
                <c:pt idx="55">
                  <c:v>30.219866491549109</c:v>
                </c:pt>
                <c:pt idx="56">
                  <c:v>30.732233665616253</c:v>
                </c:pt>
                <c:pt idx="57">
                  <c:v>31.24319868427979</c:v>
                </c:pt>
                <c:pt idx="58">
                  <c:v>31.752740886997376</c:v>
                </c:pt>
                <c:pt idx="59">
                  <c:v>32.260839807372228</c:v>
                </c:pt>
                <c:pt idx="60">
                  <c:v>32.767475175555496</c:v>
                </c:pt>
                <c:pt idx="61">
                  <c:v>33.272626920604118</c:v>
                </c:pt>
                <c:pt idx="62">
                  <c:v>33.776275172793689</c:v>
                </c:pt>
                <c:pt idx="63">
                  <c:v>34.27840026588585</c:v>
                </c:pt>
                <c:pt idx="64">
                  <c:v>34.778982739349999</c:v>
                </c:pt>
                <c:pt idx="65">
                  <c:v>35.278003340538554</c:v>
                </c:pt>
                <c:pt idx="66">
                  <c:v>35.775443026815893</c:v>
                </c:pt>
                <c:pt idx="67">
                  <c:v>36.271282967640126</c:v>
                </c:pt>
                <c:pt idx="68">
                  <c:v>36.765504546597654</c:v>
                </c:pt>
                <c:pt idx="69">
                  <c:v>37.258089363389992</c:v>
                </c:pt>
                <c:pt idx="70">
                  <c:v>37.749019235772693</c:v>
                </c:pt>
                <c:pt idx="71">
                  <c:v>38.238276201446027</c:v>
                </c:pt>
                <c:pt idx="72">
                  <c:v>38.725842519896858</c:v>
                </c:pt>
                <c:pt idx="73">
                  <c:v>39.211700674192009</c:v>
                </c:pt>
                <c:pt idx="74">
                  <c:v>39.695833372722177</c:v>
                </c:pt>
                <c:pt idx="75">
                  <c:v>40.178223550896753</c:v>
                </c:pt>
                <c:pt idx="76">
                  <c:v>40.658854372788802</c:v>
                </c:pt>
                <c:pt idx="77">
                  <c:v>41.137709232730508</c:v>
                </c:pt>
                <c:pt idx="78">
                  <c:v>41.614771756858303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6F7-41D1-BF3E-F3E49769C6BC}"/>
            </c:ext>
          </c:extLst>
        </c:ser>
        <c:ser>
          <c:idx val="1"/>
          <c:order val="1"/>
          <c:tx>
            <c:strRef>
              <c:f>'Sheet10 (3)'!$S$10</c:f>
              <c:strCache>
                <c:ptCount val="1"/>
                <c:pt idx="0">
                  <c:v>Approximated Straddle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'Sheet10 (3)'!$Q$11:$Q$89</c:f>
              <c:numCache>
                <c:formatCode>0%</c:formatCode>
                <c:ptCount val="79"/>
                <c:pt idx="0">
                  <c:v>0.1</c:v>
                </c:pt>
                <c:pt idx="1">
                  <c:v>0.2</c:v>
                </c:pt>
                <c:pt idx="2">
                  <c:v>0.30000000000000004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0.79999999999999993</c:v>
                </c:pt>
                <c:pt idx="8">
                  <c:v>0.89999999999999991</c:v>
                </c:pt>
                <c:pt idx="9">
                  <c:v>0.99999999999999989</c:v>
                </c:pt>
                <c:pt idx="10">
                  <c:v>1.0999999999999999</c:v>
                </c:pt>
                <c:pt idx="11">
                  <c:v>1.2</c:v>
                </c:pt>
                <c:pt idx="12">
                  <c:v>1.3</c:v>
                </c:pt>
                <c:pt idx="13">
                  <c:v>1.4000000000000001</c:v>
                </c:pt>
                <c:pt idx="14">
                  <c:v>1.5000000000000002</c:v>
                </c:pt>
                <c:pt idx="15">
                  <c:v>1.6000000000000003</c:v>
                </c:pt>
                <c:pt idx="16">
                  <c:v>1.7000000000000004</c:v>
                </c:pt>
                <c:pt idx="17">
                  <c:v>1.8000000000000005</c:v>
                </c:pt>
                <c:pt idx="18">
                  <c:v>1.9000000000000006</c:v>
                </c:pt>
                <c:pt idx="19">
                  <c:v>2.0000000000000004</c:v>
                </c:pt>
                <c:pt idx="20">
                  <c:v>2.1000000000000005</c:v>
                </c:pt>
                <c:pt idx="21">
                  <c:v>2.2000000000000006</c:v>
                </c:pt>
                <c:pt idx="22">
                  <c:v>2.3000000000000007</c:v>
                </c:pt>
                <c:pt idx="23">
                  <c:v>2.4000000000000008</c:v>
                </c:pt>
                <c:pt idx="24">
                  <c:v>2.5000000000000009</c:v>
                </c:pt>
                <c:pt idx="25">
                  <c:v>2.600000000000001</c:v>
                </c:pt>
                <c:pt idx="26">
                  <c:v>2.7000000000000011</c:v>
                </c:pt>
                <c:pt idx="27">
                  <c:v>2.8000000000000012</c:v>
                </c:pt>
                <c:pt idx="28">
                  <c:v>2.9000000000000012</c:v>
                </c:pt>
                <c:pt idx="29">
                  <c:v>3.0000000000000013</c:v>
                </c:pt>
                <c:pt idx="30">
                  <c:v>3.1000000000000014</c:v>
                </c:pt>
                <c:pt idx="31">
                  <c:v>3.2000000000000015</c:v>
                </c:pt>
                <c:pt idx="32">
                  <c:v>3.3000000000000016</c:v>
                </c:pt>
                <c:pt idx="33">
                  <c:v>3.4000000000000017</c:v>
                </c:pt>
                <c:pt idx="34">
                  <c:v>3.5000000000000018</c:v>
                </c:pt>
                <c:pt idx="35">
                  <c:v>3.6000000000000019</c:v>
                </c:pt>
                <c:pt idx="36">
                  <c:v>3.700000000000002</c:v>
                </c:pt>
                <c:pt idx="37">
                  <c:v>3.800000000000002</c:v>
                </c:pt>
                <c:pt idx="38">
                  <c:v>3.9000000000000021</c:v>
                </c:pt>
                <c:pt idx="39">
                  <c:v>4.0000000000000018</c:v>
                </c:pt>
                <c:pt idx="40">
                  <c:v>4.1000000000000014</c:v>
                </c:pt>
                <c:pt idx="41">
                  <c:v>4.2000000000000011</c:v>
                </c:pt>
                <c:pt idx="42">
                  <c:v>4.3000000000000007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4.6999999999999993</c:v>
                </c:pt>
                <c:pt idx="47">
                  <c:v>4.7999999999999989</c:v>
                </c:pt>
                <c:pt idx="48">
                  <c:v>4.8999999999999986</c:v>
                </c:pt>
                <c:pt idx="49">
                  <c:v>4.9999999999999982</c:v>
                </c:pt>
                <c:pt idx="50">
                  <c:v>5.0999999999999979</c:v>
                </c:pt>
                <c:pt idx="51">
                  <c:v>5.1999999999999975</c:v>
                </c:pt>
                <c:pt idx="52">
                  <c:v>5.2999999999999972</c:v>
                </c:pt>
                <c:pt idx="53">
                  <c:v>5.3999999999999968</c:v>
                </c:pt>
                <c:pt idx="54">
                  <c:v>5.4999999999999964</c:v>
                </c:pt>
                <c:pt idx="55">
                  <c:v>5.5999999999999961</c:v>
                </c:pt>
                <c:pt idx="56">
                  <c:v>5.6999999999999957</c:v>
                </c:pt>
                <c:pt idx="57">
                  <c:v>5.7999999999999954</c:v>
                </c:pt>
                <c:pt idx="58">
                  <c:v>5.899999999999995</c:v>
                </c:pt>
                <c:pt idx="59">
                  <c:v>5.9999999999999947</c:v>
                </c:pt>
                <c:pt idx="60">
                  <c:v>6.0999999999999943</c:v>
                </c:pt>
                <c:pt idx="61">
                  <c:v>6.199999999999994</c:v>
                </c:pt>
                <c:pt idx="62">
                  <c:v>6.2999999999999936</c:v>
                </c:pt>
                <c:pt idx="63">
                  <c:v>6.3999999999999932</c:v>
                </c:pt>
                <c:pt idx="64">
                  <c:v>6.4999999999999929</c:v>
                </c:pt>
                <c:pt idx="65">
                  <c:v>6.5999999999999925</c:v>
                </c:pt>
                <c:pt idx="66">
                  <c:v>6.6999999999999922</c:v>
                </c:pt>
                <c:pt idx="67">
                  <c:v>6.7999999999999918</c:v>
                </c:pt>
                <c:pt idx="68">
                  <c:v>6.8999999999999915</c:v>
                </c:pt>
                <c:pt idx="69">
                  <c:v>6.9999999999999911</c:v>
                </c:pt>
                <c:pt idx="70">
                  <c:v>7.0999999999999908</c:v>
                </c:pt>
                <c:pt idx="71">
                  <c:v>7.1999999999999904</c:v>
                </c:pt>
                <c:pt idx="72">
                  <c:v>7.2999999999999901</c:v>
                </c:pt>
                <c:pt idx="73">
                  <c:v>7.3999999999999897</c:v>
                </c:pt>
                <c:pt idx="74">
                  <c:v>7.4999999999999893</c:v>
                </c:pt>
                <c:pt idx="75">
                  <c:v>7.599999999999989</c:v>
                </c:pt>
                <c:pt idx="76">
                  <c:v>7.6999999999999886</c:v>
                </c:pt>
                <c:pt idx="77">
                  <c:v>7.7999999999999883</c:v>
                </c:pt>
                <c:pt idx="78">
                  <c:v>7.8999999999999879</c:v>
                </c:pt>
              </c:numCache>
            </c:numRef>
          </c:xVal>
          <c:yVal>
            <c:numRef>
              <c:f>'Sheet10 (3)'!$S$11:$S$89</c:f>
              <c:numCache>
                <c:formatCode>"$"#,##0.00</c:formatCode>
                <c:ptCount val="79"/>
                <c:pt idx="0">
                  <c:v>0.55470019622522915</c:v>
                </c:pt>
                <c:pt idx="1">
                  <c:v>1.1094003924504583</c:v>
                </c:pt>
                <c:pt idx="2">
                  <c:v>1.6641005886756877</c:v>
                </c:pt>
                <c:pt idx="3">
                  <c:v>2.2188007849009166</c:v>
                </c:pt>
                <c:pt idx="4">
                  <c:v>2.773500981126146</c:v>
                </c:pt>
                <c:pt idx="5">
                  <c:v>3.3282011773513749</c:v>
                </c:pt>
                <c:pt idx="6">
                  <c:v>3.8829013735766038</c:v>
                </c:pt>
                <c:pt idx="7">
                  <c:v>4.4376015698018323</c:v>
                </c:pt>
                <c:pt idx="8">
                  <c:v>4.9923017660270625</c:v>
                </c:pt>
                <c:pt idx="9">
                  <c:v>5.5470019622522901</c:v>
                </c:pt>
                <c:pt idx="10">
                  <c:v>6.1017021584775195</c:v>
                </c:pt>
                <c:pt idx="11">
                  <c:v>6.6564023547027498</c:v>
                </c:pt>
                <c:pt idx="12">
                  <c:v>7.2111025509279791</c:v>
                </c:pt>
                <c:pt idx="13">
                  <c:v>7.7658027471532094</c:v>
                </c:pt>
                <c:pt idx="14">
                  <c:v>8.3205029433784379</c:v>
                </c:pt>
                <c:pt idx="15">
                  <c:v>8.8752031396036681</c:v>
                </c:pt>
                <c:pt idx="16">
                  <c:v>9.4299033358288966</c:v>
                </c:pt>
                <c:pt idx="17">
                  <c:v>9.9846035320541269</c:v>
                </c:pt>
                <c:pt idx="18">
                  <c:v>10.539303728279357</c:v>
                </c:pt>
                <c:pt idx="19">
                  <c:v>11.094003924504586</c:v>
                </c:pt>
                <c:pt idx="20">
                  <c:v>11.648704120729816</c:v>
                </c:pt>
                <c:pt idx="21">
                  <c:v>12.203404316955044</c:v>
                </c:pt>
                <c:pt idx="22">
                  <c:v>12.758104513180275</c:v>
                </c:pt>
                <c:pt idx="23">
                  <c:v>13.312804709405503</c:v>
                </c:pt>
                <c:pt idx="24">
                  <c:v>13.867504905630733</c:v>
                </c:pt>
                <c:pt idx="25">
                  <c:v>14.422205101855964</c:v>
                </c:pt>
                <c:pt idx="26">
                  <c:v>14.976905298081192</c:v>
                </c:pt>
                <c:pt idx="27">
                  <c:v>15.531605494306422</c:v>
                </c:pt>
                <c:pt idx="28">
                  <c:v>16.086305690531653</c:v>
                </c:pt>
                <c:pt idx="29">
                  <c:v>16.641005886756883</c:v>
                </c:pt>
                <c:pt idx="30">
                  <c:v>17.195706082982113</c:v>
                </c:pt>
                <c:pt idx="31">
                  <c:v>17.75040627920734</c:v>
                </c:pt>
                <c:pt idx="32">
                  <c:v>18.30510647543257</c:v>
                </c:pt>
                <c:pt idx="33">
                  <c:v>18.8598066716578</c:v>
                </c:pt>
                <c:pt idx="34">
                  <c:v>19.414506867883027</c:v>
                </c:pt>
                <c:pt idx="35">
                  <c:v>19.969207064108261</c:v>
                </c:pt>
                <c:pt idx="36">
                  <c:v>20.523907260333491</c:v>
                </c:pt>
                <c:pt idx="37">
                  <c:v>21.078607456558718</c:v>
                </c:pt>
                <c:pt idx="38">
                  <c:v>21.633307652783948</c:v>
                </c:pt>
                <c:pt idx="39">
                  <c:v>22.188007849009175</c:v>
                </c:pt>
                <c:pt idx="40">
                  <c:v>22.742708045234401</c:v>
                </c:pt>
                <c:pt idx="41">
                  <c:v>23.297408241459632</c:v>
                </c:pt>
                <c:pt idx="42">
                  <c:v>23.852108437684858</c:v>
                </c:pt>
                <c:pt idx="43">
                  <c:v>24.406808633910082</c:v>
                </c:pt>
                <c:pt idx="44">
                  <c:v>24.961508830135312</c:v>
                </c:pt>
                <c:pt idx="45">
                  <c:v>25.516209026360542</c:v>
                </c:pt>
                <c:pt idx="46">
                  <c:v>26.070909222585765</c:v>
                </c:pt>
                <c:pt idx="47">
                  <c:v>26.625609418810992</c:v>
                </c:pt>
                <c:pt idx="48">
                  <c:v>27.180309615036219</c:v>
                </c:pt>
                <c:pt idx="49">
                  <c:v>27.735009811261449</c:v>
                </c:pt>
                <c:pt idx="50">
                  <c:v>28.289710007486676</c:v>
                </c:pt>
                <c:pt idx="51">
                  <c:v>28.844410203711899</c:v>
                </c:pt>
                <c:pt idx="52">
                  <c:v>29.399110399937129</c:v>
                </c:pt>
                <c:pt idx="53">
                  <c:v>29.953810596162359</c:v>
                </c:pt>
                <c:pt idx="54">
                  <c:v>30.508510792387582</c:v>
                </c:pt>
                <c:pt idx="55">
                  <c:v>31.063210988612809</c:v>
                </c:pt>
                <c:pt idx="56">
                  <c:v>31.617911184838039</c:v>
                </c:pt>
                <c:pt idx="57">
                  <c:v>32.17261138106327</c:v>
                </c:pt>
                <c:pt idx="58">
                  <c:v>32.727311577288489</c:v>
                </c:pt>
                <c:pt idx="59">
                  <c:v>33.282011773513716</c:v>
                </c:pt>
                <c:pt idx="60">
                  <c:v>33.83671196973895</c:v>
                </c:pt>
                <c:pt idx="61">
                  <c:v>34.391412165964176</c:v>
                </c:pt>
                <c:pt idx="62">
                  <c:v>34.946112362189403</c:v>
                </c:pt>
                <c:pt idx="63">
                  <c:v>35.500812558414623</c:v>
                </c:pt>
                <c:pt idx="64">
                  <c:v>36.055512754639857</c:v>
                </c:pt>
                <c:pt idx="65">
                  <c:v>36.610212950865083</c:v>
                </c:pt>
                <c:pt idx="66">
                  <c:v>37.164913147090303</c:v>
                </c:pt>
                <c:pt idx="67">
                  <c:v>37.719613343315537</c:v>
                </c:pt>
                <c:pt idx="68">
                  <c:v>38.274313539540763</c:v>
                </c:pt>
                <c:pt idx="69">
                  <c:v>38.82901373576599</c:v>
                </c:pt>
                <c:pt idx="70">
                  <c:v>39.383713931991224</c:v>
                </c:pt>
                <c:pt idx="71">
                  <c:v>39.938414128216444</c:v>
                </c:pt>
                <c:pt idx="72">
                  <c:v>40.49311432444167</c:v>
                </c:pt>
                <c:pt idx="73">
                  <c:v>41.047814520666904</c:v>
                </c:pt>
                <c:pt idx="74">
                  <c:v>41.602514716892124</c:v>
                </c:pt>
                <c:pt idx="75">
                  <c:v>42.15721491311735</c:v>
                </c:pt>
                <c:pt idx="76">
                  <c:v>42.711915109342584</c:v>
                </c:pt>
                <c:pt idx="77">
                  <c:v>43.266615305567811</c:v>
                </c:pt>
                <c:pt idx="78">
                  <c:v>43.821315501793038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6F7-41D1-BF3E-F3E49769C6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52385647"/>
        <c:axId val="1138069055"/>
      </c:scatterChart>
      <c:valAx>
        <c:axId val="1352385647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Volatility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38069055"/>
        <c:crosses val="autoZero"/>
        <c:crossBetween val="midCat"/>
        <c:majorUnit val="0.25"/>
      </c:valAx>
      <c:valAx>
        <c:axId val="11380690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5238564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37339733184158869"/>
          <c:y val="2.8889672882875021E-2"/>
          <c:w val="0.21481201467805205"/>
          <c:h val="4.431969473314586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 i="1"/>
              <a:t>IV on $20 strike vs spot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1220867886246003E-2"/>
          <c:y val="7.6061757063042454E-2"/>
          <c:w val="0.89953510296427319"/>
          <c:h val="0.8440131949134525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prstDash val="sysDash"/>
              <a:round/>
              <a:tailEnd type="oval"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Pt>
            <c:idx val="0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rgbClr val="FF0000"/>
                  </a:solidFill>
                  <a:headEnd type="oval"/>
                  <a:tailEnd type="arrow"/>
                </a:ln>
                <a:effectLst/>
              </c:spPr>
            </c:marker>
            <c:bubble3D val="0"/>
            <c:spPr>
              <a:ln w="19050" cap="rnd">
                <a:solidFill>
                  <a:srgbClr val="FF0000"/>
                </a:solidFill>
                <a:prstDash val="sysDash"/>
                <a:round/>
                <a:headEnd type="diamond"/>
                <a:tailEnd type="stealth"/>
              </a:ln>
              <a:effectLst/>
            </c:spPr>
            <c:extLst>
              <c:ext xmlns:c16="http://schemas.microsoft.com/office/drawing/2014/chart" uri="{C3380CC4-5D6E-409C-BE32-E72D297353CC}">
                <c16:uniqueId val="{00000002-F6D1-4AD5-BF09-07F71D8D07FC}"/>
              </c:ext>
            </c:extLst>
          </c:dPt>
          <c:dPt>
            <c:idx val="25"/>
            <c:marker>
              <c:symbol val="circle"/>
              <c:size val="5"/>
              <c:spPr>
                <a:solidFill>
                  <a:srgbClr val="00B05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spPr>
              <a:ln w="19050" cap="rnd">
                <a:solidFill>
                  <a:schemeClr val="accent1"/>
                </a:solidFill>
                <a:prstDash val="sysDash"/>
                <a:round/>
                <a:headEnd type="oval"/>
                <a:tailEnd type="oval"/>
              </a:ln>
              <a:effectLst/>
            </c:spPr>
            <c:extLst>
              <c:ext xmlns:c16="http://schemas.microsoft.com/office/drawing/2014/chart" uri="{C3380CC4-5D6E-409C-BE32-E72D297353CC}">
                <c16:uniqueId val="{00000001-F6D1-4AD5-BF09-07F71D8D07FC}"/>
              </c:ext>
            </c:extLst>
          </c:dPt>
          <c:xVal>
            <c:numRef>
              <c:f>Sheet1!$D$7:$D$32</c:f>
              <c:numCache>
                <c:formatCode>0.00</c:formatCode>
                <c:ptCount val="26"/>
                <c:pt idx="0">
                  <c:v>23.24</c:v>
                </c:pt>
                <c:pt idx="1">
                  <c:v>22.59</c:v>
                </c:pt>
                <c:pt idx="2">
                  <c:v>22.2</c:v>
                </c:pt>
                <c:pt idx="3">
                  <c:v>23.34</c:v>
                </c:pt>
                <c:pt idx="4">
                  <c:v>25.47</c:v>
                </c:pt>
                <c:pt idx="5">
                  <c:v>18.18</c:v>
                </c:pt>
                <c:pt idx="6">
                  <c:v>18.260000000000002</c:v>
                </c:pt>
                <c:pt idx="7">
                  <c:v>21.62</c:v>
                </c:pt>
                <c:pt idx="8">
                  <c:v>22.01</c:v>
                </c:pt>
                <c:pt idx="9">
                  <c:v>21.91</c:v>
                </c:pt>
                <c:pt idx="10">
                  <c:v>22.02</c:v>
                </c:pt>
                <c:pt idx="11">
                  <c:v>21.63</c:v>
                </c:pt>
                <c:pt idx="12">
                  <c:v>21.83</c:v>
                </c:pt>
                <c:pt idx="13">
                  <c:v>21.19</c:v>
                </c:pt>
                <c:pt idx="14">
                  <c:v>21.31</c:v>
                </c:pt>
                <c:pt idx="15">
                  <c:v>21.03</c:v>
                </c:pt>
                <c:pt idx="16">
                  <c:v>20.98</c:v>
                </c:pt>
                <c:pt idx="17">
                  <c:v>21.05</c:v>
                </c:pt>
                <c:pt idx="18">
                  <c:v>21.08</c:v>
                </c:pt>
                <c:pt idx="19">
                  <c:v>21.04</c:v>
                </c:pt>
                <c:pt idx="20">
                  <c:v>22.28</c:v>
                </c:pt>
                <c:pt idx="21">
                  <c:v>21.7</c:v>
                </c:pt>
                <c:pt idx="22">
                  <c:v>21.27</c:v>
                </c:pt>
                <c:pt idx="23">
                  <c:v>21.65</c:v>
                </c:pt>
                <c:pt idx="24">
                  <c:v>20.88</c:v>
                </c:pt>
                <c:pt idx="25">
                  <c:v>20.67</c:v>
                </c:pt>
              </c:numCache>
            </c:numRef>
          </c:xVal>
          <c:yVal>
            <c:numRef>
              <c:f>Sheet1!$K$7:$K$32</c:f>
              <c:numCache>
                <c:formatCode>0%</c:formatCode>
                <c:ptCount val="26"/>
                <c:pt idx="0">
                  <c:v>1.8222474289352175</c:v>
                </c:pt>
                <c:pt idx="1">
                  <c:v>1.8063017893650419</c:v>
                </c:pt>
                <c:pt idx="2">
                  <c:v>2.0489727163254523</c:v>
                </c:pt>
                <c:pt idx="3">
                  <c:v>2.1102391626418822</c:v>
                </c:pt>
                <c:pt idx="4">
                  <c:v>2.2003049316320542</c:v>
                </c:pt>
                <c:pt idx="5">
                  <c:v>2.0804325500236569</c:v>
                </c:pt>
                <c:pt idx="6">
                  <c:v>1.9840170499357019</c:v>
                </c:pt>
                <c:pt idx="7">
                  <c:v>2.5229261885786181</c:v>
                </c:pt>
                <c:pt idx="8">
                  <c:v>2.6297647130563324</c:v>
                </c:pt>
                <c:pt idx="9">
                  <c:v>2.5664123126095104</c:v>
                </c:pt>
                <c:pt idx="10">
                  <c:v>2.3753054841098145</c:v>
                </c:pt>
                <c:pt idx="11">
                  <c:v>2.2952380404739259</c:v>
                </c:pt>
                <c:pt idx="12">
                  <c:v>2.2119392042585124</c:v>
                </c:pt>
                <c:pt idx="13">
                  <c:v>2.2263230477248279</c:v>
                </c:pt>
                <c:pt idx="14">
                  <c:v>2.2128950532056959</c:v>
                </c:pt>
                <c:pt idx="15">
                  <c:v>2.1389514813055022</c:v>
                </c:pt>
                <c:pt idx="16">
                  <c:v>1.9297186117629004</c:v>
                </c:pt>
                <c:pt idx="17">
                  <c:v>1.9095581941926265</c:v>
                </c:pt>
                <c:pt idx="18">
                  <c:v>1.900912935518426</c:v>
                </c:pt>
                <c:pt idx="19">
                  <c:v>1.9124392398610826</c:v>
                </c:pt>
                <c:pt idx="20">
                  <c:v>1.8467933702128123</c:v>
                </c:pt>
                <c:pt idx="21">
                  <c:v>1.9093202070124033</c:v>
                </c:pt>
                <c:pt idx="22">
                  <c:v>1.7938722470523436</c:v>
                </c:pt>
                <c:pt idx="23">
                  <c:v>1.7071487712721423</c:v>
                </c:pt>
                <c:pt idx="24">
                  <c:v>1.8306279954826479</c:v>
                </c:pt>
                <c:pt idx="25">
                  <c:v>1.7802556009178256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D1-4AD5-BF09-07F71D8D07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4952031"/>
        <c:axId val="444945791"/>
      </c:scatterChart>
      <c:valAx>
        <c:axId val="444952031"/>
        <c:scaling>
          <c:orientation val="minMax"/>
          <c:max val="27"/>
          <c:min val="17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4945791"/>
        <c:crosses val="autoZero"/>
        <c:crossBetween val="midCat"/>
        <c:majorUnit val="2.5"/>
      </c:valAx>
      <c:valAx>
        <c:axId val="444945791"/>
        <c:scaling>
          <c:orientation val="minMax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495203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 i="1"/>
              <a:t>IV on $20 strike vs spot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1220867886246003E-2"/>
          <c:y val="7.6061757063042454E-2"/>
          <c:w val="0.89953510296427319"/>
          <c:h val="0.8440131949134525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prstDash val="sysDash"/>
              <a:round/>
              <a:tailEnd type="oval"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Pt>
            <c:idx val="0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rgbClr val="FF0000"/>
                  </a:solidFill>
                  <a:headEnd type="oval"/>
                  <a:tailEnd type="arrow"/>
                </a:ln>
                <a:effectLst/>
              </c:spPr>
            </c:marker>
            <c:bubble3D val="0"/>
            <c:spPr>
              <a:ln w="19050" cap="rnd">
                <a:solidFill>
                  <a:srgbClr val="FF0000"/>
                </a:solidFill>
                <a:prstDash val="sysDash"/>
                <a:round/>
                <a:headEnd type="diamond"/>
                <a:tailEnd type="stealth"/>
              </a:ln>
              <a:effectLst/>
            </c:spPr>
            <c:extLst>
              <c:ext xmlns:c16="http://schemas.microsoft.com/office/drawing/2014/chart" uri="{C3380CC4-5D6E-409C-BE32-E72D297353CC}">
                <c16:uniqueId val="{00000001-3D84-4C06-93F3-FCA4302F9F3A}"/>
              </c:ext>
            </c:extLst>
          </c:dPt>
          <c:dPt>
            <c:idx val="25"/>
            <c:marker>
              <c:symbol val="circle"/>
              <c:size val="5"/>
              <c:spPr>
                <a:solidFill>
                  <a:srgbClr val="00B05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spPr>
              <a:ln w="19050" cap="rnd">
                <a:solidFill>
                  <a:schemeClr val="accent1"/>
                </a:solidFill>
                <a:prstDash val="sysDash"/>
                <a:round/>
                <a:headEnd type="oval"/>
                <a:tailEnd type="oval"/>
              </a:ln>
              <a:effectLst/>
            </c:spPr>
            <c:extLst>
              <c:ext xmlns:c16="http://schemas.microsoft.com/office/drawing/2014/chart" uri="{C3380CC4-5D6E-409C-BE32-E72D297353CC}">
                <c16:uniqueId val="{00000003-3D84-4C06-93F3-FCA4302F9F3A}"/>
              </c:ext>
            </c:extLst>
          </c:dPt>
          <c:xVal>
            <c:numRef>
              <c:f>'messing around'!$D$7:$D$32</c:f>
              <c:numCache>
                <c:formatCode>0.00</c:formatCode>
                <c:ptCount val="26"/>
                <c:pt idx="0">
                  <c:v>23.24</c:v>
                </c:pt>
                <c:pt idx="1">
                  <c:v>22.59</c:v>
                </c:pt>
                <c:pt idx="2">
                  <c:v>22.2</c:v>
                </c:pt>
                <c:pt idx="3">
                  <c:v>23.34</c:v>
                </c:pt>
                <c:pt idx="4">
                  <c:v>25.47</c:v>
                </c:pt>
                <c:pt idx="5">
                  <c:v>18.18</c:v>
                </c:pt>
                <c:pt idx="6">
                  <c:v>18.260000000000002</c:v>
                </c:pt>
                <c:pt idx="7">
                  <c:v>21.62</c:v>
                </c:pt>
                <c:pt idx="8">
                  <c:v>22.01</c:v>
                </c:pt>
                <c:pt idx="9">
                  <c:v>21.91</c:v>
                </c:pt>
                <c:pt idx="10">
                  <c:v>22.02</c:v>
                </c:pt>
                <c:pt idx="11">
                  <c:v>21.63</c:v>
                </c:pt>
                <c:pt idx="12">
                  <c:v>20</c:v>
                </c:pt>
                <c:pt idx="13">
                  <c:v>21</c:v>
                </c:pt>
                <c:pt idx="14">
                  <c:v>21.31</c:v>
                </c:pt>
                <c:pt idx="15">
                  <c:v>21.03</c:v>
                </c:pt>
                <c:pt idx="16">
                  <c:v>20.98</c:v>
                </c:pt>
                <c:pt idx="17">
                  <c:v>21.05</c:v>
                </c:pt>
                <c:pt idx="18">
                  <c:v>21.08</c:v>
                </c:pt>
                <c:pt idx="19">
                  <c:v>21.04</c:v>
                </c:pt>
                <c:pt idx="20">
                  <c:v>22.28</c:v>
                </c:pt>
                <c:pt idx="21">
                  <c:v>21.7</c:v>
                </c:pt>
                <c:pt idx="22">
                  <c:v>21.27</c:v>
                </c:pt>
                <c:pt idx="23">
                  <c:v>21.65</c:v>
                </c:pt>
                <c:pt idx="24">
                  <c:v>20.88</c:v>
                </c:pt>
                <c:pt idx="25">
                  <c:v>20.67</c:v>
                </c:pt>
              </c:numCache>
            </c:numRef>
          </c:xVal>
          <c:yVal>
            <c:numRef>
              <c:f>'messing around'!$K$7:$K$32</c:f>
              <c:numCache>
                <c:formatCode>0%</c:formatCode>
                <c:ptCount val="26"/>
                <c:pt idx="0">
                  <c:v>2.3192131734416308</c:v>
                </c:pt>
                <c:pt idx="1">
                  <c:v>2.2729325154747033</c:v>
                </c:pt>
                <c:pt idx="2">
                  <c:v>2.4790715447633396</c:v>
                </c:pt>
                <c:pt idx="3">
                  <c:v>2.5482679924169709</c:v>
                </c:pt>
                <c:pt idx="4">
                  <c:v>2.6777837938401459</c:v>
                </c:pt>
                <c:pt idx="5">
                  <c:v>2.3867707640291616</c:v>
                </c:pt>
                <c:pt idx="6">
                  <c:v>2.2918563977153559</c:v>
                </c:pt>
                <c:pt idx="7">
                  <c:v>2.859560804996101</c:v>
                </c:pt>
                <c:pt idx="8">
                  <c:v>2.9654360542464775</c:v>
                </c:pt>
                <c:pt idx="9">
                  <c:v>2.9073237284781142</c:v>
                </c:pt>
                <c:pt idx="10">
                  <c:v>2.7252082618720208</c:v>
                </c:pt>
                <c:pt idx="11">
                  <c:v>2.6401309564813942</c:v>
                </c:pt>
                <c:pt idx="12">
                  <c:v>3.0785156427639935</c:v>
                </c:pt>
                <c:pt idx="13">
                  <c:v>2.6174104114913095</c:v>
                </c:pt>
                <c:pt idx="14">
                  <c:v>2.5549853678957821</c:v>
                </c:pt>
                <c:pt idx="15">
                  <c:v>2.478668859184332</c:v>
                </c:pt>
                <c:pt idx="16">
                  <c:v>2.2757524907982472</c:v>
                </c:pt>
                <c:pt idx="17">
                  <c:v>2.2577076728134582</c:v>
                </c:pt>
                <c:pt idx="18">
                  <c:v>2.249980735540078</c:v>
                </c:pt>
                <c:pt idx="19">
                  <c:v>2.2602841974905403</c:v>
                </c:pt>
                <c:pt idx="20">
                  <c:v>2.2169619647378749</c:v>
                </c:pt>
                <c:pt idx="21">
                  <c:v>2.2640124927392664</c:v>
                </c:pt>
                <c:pt idx="22">
                  <c:v>2.1482335744504715</c:v>
                </c:pt>
                <c:pt idx="23">
                  <c:v>2.0696872279155776</c:v>
                </c:pt>
                <c:pt idx="24">
                  <c:v>2.1658341452091867</c:v>
                </c:pt>
                <c:pt idx="25">
                  <c:v>2.1129800913717882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3D84-4C06-93F3-FCA4302F9F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4952031"/>
        <c:axId val="444945791"/>
      </c:scatterChart>
      <c:valAx>
        <c:axId val="444952031"/>
        <c:scaling>
          <c:orientation val="minMax"/>
          <c:max val="27"/>
          <c:min val="17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4945791"/>
        <c:crosses val="autoZero"/>
        <c:crossBetween val="midCat"/>
        <c:majorUnit val="2.5"/>
      </c:valAx>
      <c:valAx>
        <c:axId val="444945791"/>
        <c:scaling>
          <c:orientation val="minMax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495203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1942743268202589E-2"/>
          <c:y val="3.3498780132158283E-2"/>
          <c:w val="0.88573215385113901"/>
          <c:h val="0.84762648571367605"/>
        </c:manualLayout>
      </c:layout>
      <c:scatterChart>
        <c:scatterStyle val="lineMarker"/>
        <c:varyColors val="0"/>
        <c:ser>
          <c:idx val="0"/>
          <c:order val="0"/>
          <c:spPr>
            <a:ln w="25400" cap="rnd">
              <a:solidFill>
                <a:srgbClr val="B93148">
                  <a:alpha val="67000"/>
                </a:srgbClr>
              </a:solidFill>
              <a:prstDash val="sysDash"/>
              <a:round/>
              <a:tailEnd type="oval"/>
            </a:ln>
            <a:effectLst/>
          </c:spPr>
          <c:marker>
            <c:symbol val="diamond"/>
            <c:size val="8"/>
            <c:spPr>
              <a:solidFill>
                <a:srgbClr val="B93148"/>
              </a:solidFill>
              <a:ln w="9525">
                <a:noFill/>
              </a:ln>
              <a:effectLst/>
            </c:spPr>
          </c:marker>
          <c:dPt>
            <c:idx val="0"/>
            <c:marker>
              <c:symbol val="diamond"/>
              <c:size val="8"/>
              <c:spPr>
                <a:solidFill>
                  <a:srgbClr val="FF0000"/>
                </a:solidFill>
                <a:ln w="9525">
                  <a:noFill/>
                  <a:headEnd type="oval"/>
                  <a:tailEnd type="arrow"/>
                </a:ln>
                <a:effectLst/>
              </c:spPr>
            </c:marker>
            <c:bubble3D val="0"/>
            <c:spPr>
              <a:ln w="25400" cap="rnd">
                <a:solidFill>
                  <a:srgbClr val="B93148">
                    <a:alpha val="67000"/>
                  </a:srgbClr>
                </a:solidFill>
                <a:prstDash val="sysDash"/>
                <a:round/>
                <a:headEnd type="triangle"/>
                <a:tailEnd type="diamond"/>
              </a:ln>
              <a:effectLst/>
            </c:spPr>
            <c:extLst>
              <c:ext xmlns:c16="http://schemas.microsoft.com/office/drawing/2014/chart" uri="{C3380CC4-5D6E-409C-BE32-E72D297353CC}">
                <c16:uniqueId val="{00000001-6DBD-4908-870F-A55F60AD018B}"/>
              </c:ext>
            </c:extLst>
          </c:dPt>
          <c:dPt>
            <c:idx val="25"/>
            <c:marker>
              <c:symbol val="diamond"/>
              <c:size val="8"/>
              <c:spPr>
                <a:solidFill>
                  <a:srgbClr val="3FFF96"/>
                </a:solidFill>
                <a:ln w="9525">
                  <a:noFill/>
                </a:ln>
                <a:effectLst/>
              </c:spPr>
            </c:marker>
            <c:bubble3D val="0"/>
            <c:spPr>
              <a:ln w="25400" cap="rnd">
                <a:solidFill>
                  <a:srgbClr val="B93148">
                    <a:alpha val="67000"/>
                  </a:srgbClr>
                </a:solidFill>
                <a:prstDash val="sysDash"/>
                <a:round/>
                <a:headEnd type="oval"/>
                <a:tailEnd type="oval"/>
              </a:ln>
              <a:effectLst/>
            </c:spPr>
            <c:extLst>
              <c:ext xmlns:c16="http://schemas.microsoft.com/office/drawing/2014/chart" uri="{C3380CC4-5D6E-409C-BE32-E72D297353CC}">
                <c16:uniqueId val="{00000003-6DBD-4908-870F-A55F60AD018B}"/>
              </c:ext>
            </c:extLst>
          </c:dPt>
          <c:xVal>
            <c:numRef>
              <c:f>'design play'!$E$7:$E$32</c:f>
              <c:numCache>
                <c:formatCode>0.00</c:formatCode>
                <c:ptCount val="26"/>
                <c:pt idx="0">
                  <c:v>23.24</c:v>
                </c:pt>
                <c:pt idx="1">
                  <c:v>22.59</c:v>
                </c:pt>
                <c:pt idx="2">
                  <c:v>22.2</c:v>
                </c:pt>
                <c:pt idx="3">
                  <c:v>23.34</c:v>
                </c:pt>
                <c:pt idx="4">
                  <c:v>25.47</c:v>
                </c:pt>
                <c:pt idx="5">
                  <c:v>18.18</c:v>
                </c:pt>
                <c:pt idx="6">
                  <c:v>18.260000000000002</c:v>
                </c:pt>
                <c:pt idx="7">
                  <c:v>21.62</c:v>
                </c:pt>
                <c:pt idx="8">
                  <c:v>22.01</c:v>
                </c:pt>
                <c:pt idx="9">
                  <c:v>21.91</c:v>
                </c:pt>
                <c:pt idx="10">
                  <c:v>22.02</c:v>
                </c:pt>
                <c:pt idx="11">
                  <c:v>21.63</c:v>
                </c:pt>
                <c:pt idx="12">
                  <c:v>20</c:v>
                </c:pt>
                <c:pt idx="13">
                  <c:v>21</c:v>
                </c:pt>
                <c:pt idx="14">
                  <c:v>21.31</c:v>
                </c:pt>
                <c:pt idx="15">
                  <c:v>21.03</c:v>
                </c:pt>
                <c:pt idx="16">
                  <c:v>20.98</c:v>
                </c:pt>
                <c:pt idx="17">
                  <c:v>21.05</c:v>
                </c:pt>
                <c:pt idx="18">
                  <c:v>21.08</c:v>
                </c:pt>
                <c:pt idx="19">
                  <c:v>21.04</c:v>
                </c:pt>
                <c:pt idx="20">
                  <c:v>22.28</c:v>
                </c:pt>
                <c:pt idx="21">
                  <c:v>21.7</c:v>
                </c:pt>
                <c:pt idx="22">
                  <c:v>21.27</c:v>
                </c:pt>
                <c:pt idx="23">
                  <c:v>21.65</c:v>
                </c:pt>
                <c:pt idx="24">
                  <c:v>20.88</c:v>
                </c:pt>
                <c:pt idx="25">
                  <c:v>20.67</c:v>
                </c:pt>
              </c:numCache>
            </c:numRef>
          </c:xVal>
          <c:yVal>
            <c:numRef>
              <c:f>'design play'!$L$7:$L$32</c:f>
              <c:numCache>
                <c:formatCode>0%</c:formatCode>
                <c:ptCount val="26"/>
                <c:pt idx="0">
                  <c:v>1.8355586626678784</c:v>
                </c:pt>
                <c:pt idx="1">
                  <c:v>1.8205553858283039</c:v>
                </c:pt>
                <c:pt idx="2">
                  <c:v>2.0624858041690799</c:v>
                </c:pt>
                <c:pt idx="3">
                  <c:v>2.1231783154050166</c:v>
                </c:pt>
                <c:pt idx="4">
                  <c:v>2.2084306848797413</c:v>
                </c:pt>
                <c:pt idx="5">
                  <c:v>2.0911133210114601</c:v>
                </c:pt>
                <c:pt idx="6">
                  <c:v>1.9947097477998832</c:v>
                </c:pt>
                <c:pt idx="7">
                  <c:v>2.5358839671580538</c:v>
                </c:pt>
                <c:pt idx="8">
                  <c:v>2.6381330947311623</c:v>
                </c:pt>
                <c:pt idx="9">
                  <c:v>2.5801139107626407</c:v>
                </c:pt>
                <c:pt idx="10">
                  <c:v>2.3893449376952458</c:v>
                </c:pt>
                <c:pt idx="11">
                  <c:v>2.3084065758099475</c:v>
                </c:pt>
                <c:pt idx="12">
                  <c:v>2.7823505435170421</c:v>
                </c:pt>
                <c:pt idx="13">
                  <c:v>2.295190509001106</c:v>
                </c:pt>
                <c:pt idx="14">
                  <c:v>2.2255865266939332</c:v>
                </c:pt>
                <c:pt idx="15">
                  <c:v>2.1513375942747253</c:v>
                </c:pt>
                <c:pt idx="16">
                  <c:v>1.9423572612837354</c:v>
                </c:pt>
                <c:pt idx="17">
                  <c:v>1.9223200473527291</c:v>
                </c:pt>
                <c:pt idx="18">
                  <c:v>1.9137285245239775</c:v>
                </c:pt>
                <c:pt idx="19">
                  <c:v>1.9251833047113274</c:v>
                </c:pt>
                <c:pt idx="20">
                  <c:v>1.8618377692627592</c:v>
                </c:pt>
                <c:pt idx="21">
                  <c:v>1.9232068880289164</c:v>
                </c:pt>
                <c:pt idx="22">
                  <c:v>1.8072807871578243</c:v>
                </c:pt>
                <c:pt idx="23">
                  <c:v>1.7212882670536924</c:v>
                </c:pt>
                <c:pt idx="24">
                  <c:v>1.8436026128861942</c:v>
                </c:pt>
                <c:pt idx="25">
                  <c:v>1.7930686907837048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DBD-4908-870F-A55F60AD01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4952031"/>
        <c:axId val="444945791"/>
      </c:scatterChart>
      <c:valAx>
        <c:axId val="444952031"/>
        <c:scaling>
          <c:orientation val="minMax"/>
          <c:max val="27"/>
          <c:min val="17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$&quot;* #,##0.00_);_(&quot;$&quot;* \(#,##0.00\);_(&quot;$&quot;* &quot;-&quot;??_);_(@_)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4945791"/>
        <c:crosses val="autoZero"/>
        <c:crossBetween val="midCat"/>
        <c:majorUnit val="2.5"/>
      </c:valAx>
      <c:valAx>
        <c:axId val="444945791"/>
        <c:scaling>
          <c:orientation val="minMax"/>
          <c:min val="1"/>
        </c:scaling>
        <c:delete val="0"/>
        <c:axPos val="l"/>
        <c:majorGridlines>
          <c:spPr>
            <a:ln w="9525" cap="flat" cmpd="sng" algn="ctr">
              <a:solidFill>
                <a:schemeClr val="accent1">
                  <a:shade val="15000"/>
                  <a:alpha val="7000"/>
                </a:schemeClr>
              </a:solidFill>
              <a:prstDash val="dash"/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4952031"/>
        <c:crosses val="autoZero"/>
        <c:crossBetween val="midCat"/>
      </c:valAx>
      <c:spPr>
        <a:noFill/>
        <a:ln>
          <a:noFill/>
        </a:ln>
        <a:effectLst>
          <a:outerShdw blurRad="50800" dist="38100" dir="5400000" algn="t" rotWithShape="0">
            <a:srgbClr val="B93148">
              <a:alpha val="40000"/>
            </a:srgbClr>
          </a:outerShdw>
        </a:effectLst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>
      <a:innerShdw blurRad="114300">
        <a:prstClr val="black"/>
      </a:innerShdw>
    </a:effec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areaChart>
        <c:grouping val="stacked"/>
        <c:varyColors val="0"/>
        <c:ser>
          <c:idx val="1"/>
          <c:order val="1"/>
          <c:tx>
            <c:strRef>
              <c:f>'design play'!$AO$34</c:f>
              <c:strCache>
                <c:ptCount val="1"/>
                <c:pt idx="0">
                  <c:v>STOCK</c:v>
                </c:pt>
              </c:strCache>
            </c:strRef>
          </c:tx>
          <c:spPr>
            <a:gradFill flip="none" rotWithShape="1">
              <a:gsLst>
                <a:gs pos="0">
                  <a:srgbClr val="B93148">
                    <a:alpha val="75000"/>
                  </a:srgbClr>
                </a:gs>
                <a:gs pos="40000">
                  <a:srgbClr val="B93148">
                    <a:alpha val="50000"/>
                  </a:srgbClr>
                </a:gs>
                <a:gs pos="92000">
                  <a:srgbClr val="B93148">
                    <a:alpha val="25000"/>
                  </a:srgbClr>
                </a:gs>
              </a:gsLst>
              <a:lin ang="5400000" scaled="1"/>
              <a:tileRect/>
            </a:gradFill>
            <a:ln>
              <a:noFill/>
            </a:ln>
            <a:effectLst/>
          </c:spPr>
          <c:val>
            <c:numRef>
              <c:f>'design play'!$AO$35:$AO$60</c:f>
              <c:numCache>
                <c:formatCode>0.00</c:formatCode>
                <c:ptCount val="26"/>
                <c:pt idx="0">
                  <c:v>23.24</c:v>
                </c:pt>
                <c:pt idx="1">
                  <c:v>22.59</c:v>
                </c:pt>
                <c:pt idx="2">
                  <c:v>22.2</c:v>
                </c:pt>
                <c:pt idx="3">
                  <c:v>23.34</c:v>
                </c:pt>
                <c:pt idx="4">
                  <c:v>25.47</c:v>
                </c:pt>
                <c:pt idx="5">
                  <c:v>18.18</c:v>
                </c:pt>
                <c:pt idx="6">
                  <c:v>18.260000000000002</c:v>
                </c:pt>
                <c:pt idx="7">
                  <c:v>21.62</c:v>
                </c:pt>
                <c:pt idx="8">
                  <c:v>22.01</c:v>
                </c:pt>
                <c:pt idx="9">
                  <c:v>21.91</c:v>
                </c:pt>
                <c:pt idx="10">
                  <c:v>22.02</c:v>
                </c:pt>
                <c:pt idx="11">
                  <c:v>21.63</c:v>
                </c:pt>
                <c:pt idx="12">
                  <c:v>20</c:v>
                </c:pt>
                <c:pt idx="13">
                  <c:v>21</c:v>
                </c:pt>
                <c:pt idx="14">
                  <c:v>21.31</c:v>
                </c:pt>
                <c:pt idx="15">
                  <c:v>21.03</c:v>
                </c:pt>
                <c:pt idx="16">
                  <c:v>20.98</c:v>
                </c:pt>
                <c:pt idx="17">
                  <c:v>21.05</c:v>
                </c:pt>
                <c:pt idx="18">
                  <c:v>21.08</c:v>
                </c:pt>
                <c:pt idx="19">
                  <c:v>21.04</c:v>
                </c:pt>
                <c:pt idx="20">
                  <c:v>22.28</c:v>
                </c:pt>
                <c:pt idx="21">
                  <c:v>21.7</c:v>
                </c:pt>
                <c:pt idx="22">
                  <c:v>21.27</c:v>
                </c:pt>
                <c:pt idx="23">
                  <c:v>21.65</c:v>
                </c:pt>
                <c:pt idx="24">
                  <c:v>20.88</c:v>
                </c:pt>
                <c:pt idx="25">
                  <c:v>20.67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EC0-407E-AF24-B90AF22F55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62656432"/>
        <c:axId val="1062653912"/>
      </c:areaChart>
      <c:lineChart>
        <c:grouping val="standard"/>
        <c:varyColors val="0"/>
        <c:ser>
          <c:idx val="0"/>
          <c:order val="0"/>
          <c:tx>
            <c:strRef>
              <c:f>'design play'!$AN$34</c:f>
              <c:strCache>
                <c:ptCount val="1"/>
                <c:pt idx="0">
                  <c:v>STOCK</c:v>
                </c:pt>
              </c:strCache>
            </c:strRef>
          </c:tx>
          <c:spPr>
            <a:ln w="28575" cap="rnd">
              <a:solidFill>
                <a:srgbClr val="B93148"/>
              </a:solidFill>
              <a:round/>
            </a:ln>
            <a:effectLst/>
          </c:spPr>
          <c:marker>
            <c:symbol val="none"/>
          </c:marker>
          <c:val>
            <c:numRef>
              <c:f>'design play'!$AN$35:$AN$60</c:f>
              <c:numCache>
                <c:formatCode>0.00</c:formatCode>
                <c:ptCount val="26"/>
                <c:pt idx="0">
                  <c:v>23.24</c:v>
                </c:pt>
                <c:pt idx="1">
                  <c:v>22.59</c:v>
                </c:pt>
                <c:pt idx="2">
                  <c:v>22.2</c:v>
                </c:pt>
                <c:pt idx="3">
                  <c:v>23.34</c:v>
                </c:pt>
                <c:pt idx="4">
                  <c:v>25.47</c:v>
                </c:pt>
                <c:pt idx="5">
                  <c:v>18.18</c:v>
                </c:pt>
                <c:pt idx="6">
                  <c:v>18.260000000000002</c:v>
                </c:pt>
                <c:pt idx="7">
                  <c:v>21.62</c:v>
                </c:pt>
                <c:pt idx="8">
                  <c:v>22.01</c:v>
                </c:pt>
                <c:pt idx="9">
                  <c:v>21.91</c:v>
                </c:pt>
                <c:pt idx="10">
                  <c:v>22.02</c:v>
                </c:pt>
                <c:pt idx="11">
                  <c:v>21.63</c:v>
                </c:pt>
                <c:pt idx="12">
                  <c:v>20</c:v>
                </c:pt>
                <c:pt idx="13">
                  <c:v>21</c:v>
                </c:pt>
                <c:pt idx="14">
                  <c:v>21.31</c:v>
                </c:pt>
                <c:pt idx="15">
                  <c:v>21.03</c:v>
                </c:pt>
                <c:pt idx="16">
                  <c:v>20.98</c:v>
                </c:pt>
                <c:pt idx="17">
                  <c:v>21.05</c:v>
                </c:pt>
                <c:pt idx="18">
                  <c:v>21.08</c:v>
                </c:pt>
                <c:pt idx="19">
                  <c:v>21.04</c:v>
                </c:pt>
                <c:pt idx="20">
                  <c:v>22.28</c:v>
                </c:pt>
                <c:pt idx="21">
                  <c:v>21.7</c:v>
                </c:pt>
                <c:pt idx="22">
                  <c:v>21.27</c:v>
                </c:pt>
                <c:pt idx="23">
                  <c:v>21.65</c:v>
                </c:pt>
                <c:pt idx="24">
                  <c:v>20.88</c:v>
                </c:pt>
                <c:pt idx="25">
                  <c:v>20.67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EC0-407E-AF24-B90AF22F55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62656432"/>
        <c:axId val="1062653912"/>
      </c:lineChart>
      <c:catAx>
        <c:axId val="1062656432"/>
        <c:scaling>
          <c:orientation val="maxMin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62653912"/>
        <c:crosses val="autoZero"/>
        <c:auto val="1"/>
        <c:lblAlgn val="ctr"/>
        <c:lblOffset val="100"/>
        <c:noMultiLvlLbl val="0"/>
      </c:catAx>
      <c:valAx>
        <c:axId val="1062653912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rgbClr val="B93148">
                  <a:alpha val="15000"/>
                </a:srgb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high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626564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areaChart>
        <c:grouping val="stacked"/>
        <c:varyColors val="0"/>
        <c:ser>
          <c:idx val="1"/>
          <c:order val="1"/>
          <c:tx>
            <c:strRef>
              <c:f>'design play'!$AO$34</c:f>
              <c:strCache>
                <c:ptCount val="1"/>
                <c:pt idx="0">
                  <c:v>STOCK</c:v>
                </c:pt>
              </c:strCache>
            </c:strRef>
          </c:tx>
          <c:spPr>
            <a:gradFill flip="none" rotWithShape="1">
              <a:gsLst>
                <a:gs pos="15000">
                  <a:srgbClr val="7079F2">
                    <a:alpha val="75000"/>
                  </a:srgbClr>
                </a:gs>
                <a:gs pos="50000">
                  <a:srgbClr val="7079F2">
                    <a:alpha val="55000"/>
                  </a:srgbClr>
                </a:gs>
                <a:gs pos="80000">
                  <a:srgbClr val="7079F2">
                    <a:alpha val="25000"/>
                  </a:srgbClr>
                </a:gs>
              </a:gsLst>
              <a:lin ang="5400000" scaled="1"/>
              <a:tileRect/>
            </a:gradFill>
            <a:ln>
              <a:gradFill flip="none" rotWithShape="1">
                <a:gsLst>
                  <a:gs pos="0">
                    <a:schemeClr val="accent1">
                      <a:lumMod val="5000"/>
                      <a:lumOff val="95000"/>
                    </a:schemeClr>
                  </a:gs>
                  <a:gs pos="74000">
                    <a:schemeClr val="accent1">
                      <a:lumMod val="45000"/>
                      <a:lumOff val="55000"/>
                    </a:schemeClr>
                  </a:gs>
                  <a:gs pos="83000">
                    <a:schemeClr val="accent1">
                      <a:lumMod val="45000"/>
                      <a:lumOff val="55000"/>
                    </a:schemeClr>
                  </a:gs>
                  <a:gs pos="100000">
                    <a:schemeClr val="accent1">
                      <a:lumMod val="30000"/>
                      <a:lumOff val="70000"/>
                    </a:schemeClr>
                  </a:gs>
                </a:gsLst>
                <a:lin ang="5400000" scaled="1"/>
                <a:tileRect/>
              </a:gradFill>
            </a:ln>
            <a:effectLst/>
          </c:spPr>
          <c:val>
            <c:numRef>
              <c:f>'design play'!$AO$35:$AO$60</c:f>
              <c:numCache>
                <c:formatCode>0.00</c:formatCode>
                <c:ptCount val="26"/>
                <c:pt idx="0">
                  <c:v>23.24</c:v>
                </c:pt>
                <c:pt idx="1">
                  <c:v>22.59</c:v>
                </c:pt>
                <c:pt idx="2">
                  <c:v>22.2</c:v>
                </c:pt>
                <c:pt idx="3">
                  <c:v>23.34</c:v>
                </c:pt>
                <c:pt idx="4">
                  <c:v>25.47</c:v>
                </c:pt>
                <c:pt idx="5">
                  <c:v>18.18</c:v>
                </c:pt>
                <c:pt idx="6">
                  <c:v>18.260000000000002</c:v>
                </c:pt>
                <c:pt idx="7">
                  <c:v>21.62</c:v>
                </c:pt>
                <c:pt idx="8">
                  <c:v>22.01</c:v>
                </c:pt>
                <c:pt idx="9">
                  <c:v>21.91</c:v>
                </c:pt>
                <c:pt idx="10">
                  <c:v>22.02</c:v>
                </c:pt>
                <c:pt idx="11">
                  <c:v>21.63</c:v>
                </c:pt>
                <c:pt idx="12">
                  <c:v>20</c:v>
                </c:pt>
                <c:pt idx="13">
                  <c:v>21</c:v>
                </c:pt>
                <c:pt idx="14">
                  <c:v>21.31</c:v>
                </c:pt>
                <c:pt idx="15">
                  <c:v>21.03</c:v>
                </c:pt>
                <c:pt idx="16">
                  <c:v>20.98</c:v>
                </c:pt>
                <c:pt idx="17">
                  <c:v>21.05</c:v>
                </c:pt>
                <c:pt idx="18">
                  <c:v>21.08</c:v>
                </c:pt>
                <c:pt idx="19">
                  <c:v>21.04</c:v>
                </c:pt>
                <c:pt idx="20">
                  <c:v>22.28</c:v>
                </c:pt>
                <c:pt idx="21">
                  <c:v>21.7</c:v>
                </c:pt>
                <c:pt idx="22">
                  <c:v>21.27</c:v>
                </c:pt>
                <c:pt idx="23">
                  <c:v>21.65</c:v>
                </c:pt>
                <c:pt idx="24">
                  <c:v>20.88</c:v>
                </c:pt>
                <c:pt idx="25">
                  <c:v>20.67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A11-4C4C-B942-44D23B130A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62656432"/>
        <c:axId val="1062653912"/>
      </c:areaChart>
      <c:lineChart>
        <c:grouping val="standard"/>
        <c:varyColors val="0"/>
        <c:ser>
          <c:idx val="0"/>
          <c:order val="0"/>
          <c:tx>
            <c:strRef>
              <c:f>'design play'!$AN$34</c:f>
              <c:strCache>
                <c:ptCount val="1"/>
                <c:pt idx="0">
                  <c:v>STOCK</c:v>
                </c:pt>
              </c:strCache>
            </c:strRef>
          </c:tx>
          <c:spPr>
            <a:ln w="28575" cap="rnd">
              <a:solidFill>
                <a:srgbClr val="7079F2"/>
              </a:solidFill>
              <a:round/>
            </a:ln>
            <a:effectLst>
              <a:glow rad="63500">
                <a:srgbClr val="FF0000">
                  <a:alpha val="28000"/>
                </a:srgbClr>
              </a:glow>
              <a:innerShdw blurRad="114300">
                <a:prstClr val="black"/>
              </a:innerShdw>
            </a:effectLst>
          </c:spPr>
          <c:marker>
            <c:symbol val="none"/>
          </c:marker>
          <c:val>
            <c:numRef>
              <c:f>'design play'!$AN$35:$AN$60</c:f>
              <c:numCache>
                <c:formatCode>0.00</c:formatCode>
                <c:ptCount val="26"/>
                <c:pt idx="0">
                  <c:v>23.24</c:v>
                </c:pt>
                <c:pt idx="1">
                  <c:v>22.59</c:v>
                </c:pt>
                <c:pt idx="2">
                  <c:v>22.2</c:v>
                </c:pt>
                <c:pt idx="3">
                  <c:v>23.34</c:v>
                </c:pt>
                <c:pt idx="4">
                  <c:v>25.47</c:v>
                </c:pt>
                <c:pt idx="5">
                  <c:v>18.18</c:v>
                </c:pt>
                <c:pt idx="6">
                  <c:v>18.260000000000002</c:v>
                </c:pt>
                <c:pt idx="7">
                  <c:v>21.62</c:v>
                </c:pt>
                <c:pt idx="8">
                  <c:v>22.01</c:v>
                </c:pt>
                <c:pt idx="9">
                  <c:v>21.91</c:v>
                </c:pt>
                <c:pt idx="10">
                  <c:v>22.02</c:v>
                </c:pt>
                <c:pt idx="11">
                  <c:v>21.63</c:v>
                </c:pt>
                <c:pt idx="12">
                  <c:v>20</c:v>
                </c:pt>
                <c:pt idx="13">
                  <c:v>21</c:v>
                </c:pt>
                <c:pt idx="14">
                  <c:v>21.31</c:v>
                </c:pt>
                <c:pt idx="15">
                  <c:v>21.03</c:v>
                </c:pt>
                <c:pt idx="16">
                  <c:v>20.98</c:v>
                </c:pt>
                <c:pt idx="17">
                  <c:v>21.05</c:v>
                </c:pt>
                <c:pt idx="18">
                  <c:v>21.08</c:v>
                </c:pt>
                <c:pt idx="19">
                  <c:v>21.04</c:v>
                </c:pt>
                <c:pt idx="20">
                  <c:v>22.28</c:v>
                </c:pt>
                <c:pt idx="21">
                  <c:v>21.7</c:v>
                </c:pt>
                <c:pt idx="22">
                  <c:v>21.27</c:v>
                </c:pt>
                <c:pt idx="23">
                  <c:v>21.65</c:v>
                </c:pt>
                <c:pt idx="24">
                  <c:v>20.88</c:v>
                </c:pt>
                <c:pt idx="25">
                  <c:v>20.67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A11-4C4C-B942-44D23B130A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62656432"/>
        <c:axId val="1062653912"/>
      </c:lineChart>
      <c:catAx>
        <c:axId val="1062656432"/>
        <c:scaling>
          <c:orientation val="maxMin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62653912"/>
        <c:crosses val="autoZero"/>
        <c:auto val="1"/>
        <c:lblAlgn val="ctr"/>
        <c:lblOffset val="100"/>
        <c:noMultiLvlLbl val="0"/>
      </c:catAx>
      <c:valAx>
        <c:axId val="1062653912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rgbClr val="B93148">
                  <a:alpha val="15000"/>
                </a:srgb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high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62656432"/>
        <c:crosses val="autoZero"/>
        <c:crossBetween val="between"/>
      </c:valAx>
      <c:spPr>
        <a:noFill/>
        <a:ln>
          <a:noFill/>
        </a:ln>
        <a:effectLst>
          <a:glow rad="228600">
            <a:srgbClr val="7079F2"/>
          </a:glow>
        </a:effectLst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Relationship Id="rId4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7.png"/><Relationship Id="rId2" Type="http://schemas.openxmlformats.org/officeDocument/2006/relationships/image" Target="../media/image6.png"/><Relationship Id="rId1" Type="http://schemas.openxmlformats.org/officeDocument/2006/relationships/chart" Target="../charts/chart13.xml"/><Relationship Id="rId6" Type="http://schemas.openxmlformats.org/officeDocument/2006/relationships/chart" Target="../charts/chart15.xml"/><Relationship Id="rId5" Type="http://schemas.openxmlformats.org/officeDocument/2006/relationships/chart" Target="../charts/chart14.xml"/><Relationship Id="rId4" Type="http://schemas.openxmlformats.org/officeDocument/2006/relationships/image" Target="../media/image8.sv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333375</xdr:colOff>
      <xdr:row>2</xdr:row>
      <xdr:rowOff>154782</xdr:rowOff>
    </xdr:from>
    <xdr:to>
      <xdr:col>33</xdr:col>
      <xdr:colOff>47626</xdr:colOff>
      <xdr:row>28</xdr:row>
      <xdr:rowOff>37420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6093922-DC50-9EF4-8870-0EB6A739B6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333375</xdr:colOff>
      <xdr:row>28</xdr:row>
      <xdr:rowOff>71438</xdr:rowOff>
    </xdr:from>
    <xdr:to>
      <xdr:col>33</xdr:col>
      <xdr:colOff>47625</xdr:colOff>
      <xdr:row>53</xdr:row>
      <xdr:rowOff>59531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683080F0-73B2-48B6-BEAA-A9EB30ACAF0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20</xdr:col>
      <xdr:colOff>333375</xdr:colOff>
      <xdr:row>53</xdr:row>
      <xdr:rowOff>107156</xdr:rowOff>
    </xdr:from>
    <xdr:to>
      <xdr:col>33</xdr:col>
      <xdr:colOff>47625</xdr:colOff>
      <xdr:row>78</xdr:row>
      <xdr:rowOff>95249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82DF1623-8C19-4B61-86C8-F5CDB4109E2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33</xdr:col>
      <xdr:colOff>452438</xdr:colOff>
      <xdr:row>3</xdr:row>
      <xdr:rowOff>47625</xdr:rowOff>
    </xdr:from>
    <xdr:to>
      <xdr:col>46</xdr:col>
      <xdr:colOff>166688</xdr:colOff>
      <xdr:row>28</xdr:row>
      <xdr:rowOff>120763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56B345EB-DEA0-4A30-945F-332A09CD98F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39</xdr:col>
      <xdr:colOff>130968</xdr:colOff>
      <xdr:row>33</xdr:row>
      <xdr:rowOff>11907</xdr:rowOff>
    </xdr:from>
    <xdr:to>
      <xdr:col>51</xdr:col>
      <xdr:colOff>452437</xdr:colOff>
      <xdr:row>58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E9DB0C1B-4C6A-4A31-B74F-4D215E196BC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38</xdr:col>
      <xdr:colOff>452438</xdr:colOff>
      <xdr:row>5</xdr:row>
      <xdr:rowOff>47625</xdr:rowOff>
    </xdr:from>
    <xdr:to>
      <xdr:col>51</xdr:col>
      <xdr:colOff>166688</xdr:colOff>
      <xdr:row>30</xdr:row>
      <xdr:rowOff>120763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45B0A349-9A81-425B-B146-D69A09AF606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178593</xdr:colOff>
      <xdr:row>26</xdr:row>
      <xdr:rowOff>83345</xdr:rowOff>
    </xdr:from>
    <xdr:to>
      <xdr:col>27</xdr:col>
      <xdr:colOff>559592</xdr:colOff>
      <xdr:row>29</xdr:row>
      <xdr:rowOff>71439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709B4894-EE9F-A68D-EFA6-EAB427563142}"/>
            </a:ext>
          </a:extLst>
        </xdr:cNvPr>
        <xdr:cNvSpPr txBox="1"/>
      </xdr:nvSpPr>
      <xdr:spPr>
        <a:xfrm>
          <a:off x="18097499" y="5095876"/>
          <a:ext cx="3690937" cy="559594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800">
              <a:solidFill>
                <a:schemeClr val="accent1"/>
              </a:solidFill>
            </a:rPr>
            <a:t>Delta Hedged Short Call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438150</xdr:colOff>
          <xdr:row>33</xdr:row>
          <xdr:rowOff>57150</xdr:rowOff>
        </xdr:from>
        <xdr:to>
          <xdr:col>32</xdr:col>
          <xdr:colOff>581025</xdr:colOff>
          <xdr:row>56</xdr:row>
          <xdr:rowOff>114300</xdr:rowOff>
        </xdr:to>
        <xdr:pic>
          <xdr:nvPicPr>
            <xdr:cNvPr id="9" name="Picture 8">
              <a:extLst>
                <a:ext uri="{FF2B5EF4-FFF2-40B4-BE49-F238E27FC236}">
                  <a16:creationId xmlns:a16="http://schemas.microsoft.com/office/drawing/2014/main" id="{A3BF3D8D-127E-C812-2FF7-378544FA6B2F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2:$O$24" spid="_x0000_s36472"/>
                </a:ext>
              </a:extLst>
            </xdr:cNvPicPr>
          </xdr:nvPicPr>
          <xdr:blipFill>
            <a:blip xmlns:r="http://schemas.openxmlformats.org/officeDocument/2006/relationships" r:embed="rId3"/>
            <a:srcRect/>
            <a:stretch>
              <a:fillRect/>
            </a:stretch>
          </xdr:blipFill>
          <xdr:spPr bwMode="auto">
            <a:xfrm>
              <a:off x="13830300" y="6400800"/>
              <a:ext cx="11029950" cy="443865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noFill/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583406</xdr:colOff>
      <xdr:row>13</xdr:row>
      <xdr:rowOff>95250</xdr:rowOff>
    </xdr:from>
    <xdr:to>
      <xdr:col>32</xdr:col>
      <xdr:colOff>488156</xdr:colOff>
      <xdr:row>49</xdr:row>
      <xdr:rowOff>11905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1966E83-9340-4BE2-81AD-E200493D80C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35</xdr:col>
      <xdr:colOff>130968</xdr:colOff>
      <xdr:row>31</xdr:row>
      <xdr:rowOff>11907</xdr:rowOff>
    </xdr:from>
    <xdr:to>
      <xdr:col>47</xdr:col>
      <xdr:colOff>452437</xdr:colOff>
      <xdr:row>56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8BB25F95-DA60-4448-B491-F3089E64848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21</xdr:col>
      <xdr:colOff>333375</xdr:colOff>
      <xdr:row>53</xdr:row>
      <xdr:rowOff>107156</xdr:rowOff>
    </xdr:from>
    <xdr:to>
      <xdr:col>34</xdr:col>
      <xdr:colOff>47625</xdr:colOff>
      <xdr:row>78</xdr:row>
      <xdr:rowOff>95249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69B2C0A7-2881-4C2F-9317-D90FA71E469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34</xdr:col>
      <xdr:colOff>452438</xdr:colOff>
      <xdr:row>3</xdr:row>
      <xdr:rowOff>47625</xdr:rowOff>
    </xdr:from>
    <xdr:to>
      <xdr:col>47</xdr:col>
      <xdr:colOff>166688</xdr:colOff>
      <xdr:row>28</xdr:row>
      <xdr:rowOff>120763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D2DCDD7E-9B23-434B-ABE9-D57D3787213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242886</xdr:colOff>
      <xdr:row>5</xdr:row>
      <xdr:rowOff>76199</xdr:rowOff>
    </xdr:from>
    <xdr:to>
      <xdr:col>22</xdr:col>
      <xdr:colOff>180975</xdr:colOff>
      <xdr:row>31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2EB9F9C-989A-C382-80C6-1530C6C8CC8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0</xdr:colOff>
      <xdr:row>3</xdr:row>
      <xdr:rowOff>0</xdr:rowOff>
    </xdr:from>
    <xdr:to>
      <xdr:col>32</xdr:col>
      <xdr:colOff>595585</xdr:colOff>
      <xdr:row>13</xdr:row>
      <xdr:rowOff>71437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87B96A04-DA4B-B554-1890-D1B7A1AF7A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728156" y="571500"/>
          <a:ext cx="7274992" cy="2071687"/>
        </a:xfrm>
        <a:prstGeom prst="rect">
          <a:avLst/>
        </a:prstGeom>
      </xdr:spPr>
    </xdr:pic>
    <xdr:clientData/>
  </xdr:twoCellAnchor>
  <xdr:twoCellAnchor editAs="oneCell">
    <xdr:from>
      <xdr:col>20</xdr:col>
      <xdr:colOff>607217</xdr:colOff>
      <xdr:row>16</xdr:row>
      <xdr:rowOff>0</xdr:rowOff>
    </xdr:from>
    <xdr:to>
      <xdr:col>33</xdr:col>
      <xdr:colOff>159819</xdr:colOff>
      <xdr:row>26</xdr:row>
      <xdr:rowOff>11906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624514E6-1502-478E-A13C-8F442E5AC1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5728155" y="3143250"/>
          <a:ext cx="7446445" cy="1916906"/>
        </a:xfrm>
        <a:prstGeom prst="rect">
          <a:avLst/>
        </a:prstGeom>
      </xdr:spPr>
    </xdr:pic>
    <xdr:clientData/>
  </xdr:twoCellAnchor>
  <xdr:twoCellAnchor editAs="oneCell">
    <xdr:from>
      <xdr:col>20</xdr:col>
      <xdr:colOff>571499</xdr:colOff>
      <xdr:row>30</xdr:row>
      <xdr:rowOff>0</xdr:rowOff>
    </xdr:from>
    <xdr:to>
      <xdr:col>33</xdr:col>
      <xdr:colOff>166688</xdr:colOff>
      <xdr:row>40</xdr:row>
      <xdr:rowOff>145276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78D9B093-523C-3A37-8BEE-4ECDA570ED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5692437" y="5834063"/>
          <a:ext cx="7489032" cy="2050276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242886</xdr:colOff>
      <xdr:row>5</xdr:row>
      <xdr:rowOff>76199</xdr:rowOff>
    </xdr:from>
    <xdr:to>
      <xdr:col>22</xdr:col>
      <xdr:colOff>180975</xdr:colOff>
      <xdr:row>31</xdr:row>
      <xdr:rowOff>152400</xdr:rowOff>
    </xdr:to>
    <xdr:graphicFrame macro="">
      <xdr:nvGraphicFramePr>
        <xdr:cNvPr id="4" name="Chart 1">
          <a:extLst>
            <a:ext uri="{FF2B5EF4-FFF2-40B4-BE49-F238E27FC236}">
              <a16:creationId xmlns:a16="http://schemas.microsoft.com/office/drawing/2014/main" id="{0ED929DE-649C-41B7-9D03-5C780ACB788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1047751</xdr:colOff>
      <xdr:row>12</xdr:row>
      <xdr:rowOff>28575</xdr:rowOff>
    </xdr:from>
    <xdr:to>
      <xdr:col>32</xdr:col>
      <xdr:colOff>381000</xdr:colOff>
      <xdr:row>32</xdr:row>
      <xdr:rowOff>114300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81832FF-5CEC-4D63-BC13-15F876FE48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33</xdr:col>
      <xdr:colOff>581024</xdr:colOff>
      <xdr:row>0</xdr:row>
      <xdr:rowOff>152399</xdr:rowOff>
    </xdr:from>
    <xdr:to>
      <xdr:col>35</xdr:col>
      <xdr:colOff>9525</xdr:colOff>
      <xdr:row>4</xdr:row>
      <xdr:rowOff>47623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83B94514-F243-5B5C-10E3-9B92A05A1D9B}"/>
            </a:ext>
          </a:extLst>
        </xdr:cNvPr>
        <xdr:cNvSpPr/>
      </xdr:nvSpPr>
      <xdr:spPr>
        <a:xfrm>
          <a:off x="18192749" y="152399"/>
          <a:ext cx="647701" cy="590549"/>
        </a:xfrm>
        <a:prstGeom prst="rect">
          <a:avLst/>
        </a:prstGeom>
        <a:blipFill>
          <a:blip xmlns:r="http://schemas.openxmlformats.org/officeDocument/2006/relationships" r:embed="rId2"/>
          <a:stretch>
            <a:fillRect/>
          </a:stretch>
        </a:blip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24</xdr:col>
      <xdr:colOff>342899</xdr:colOff>
      <xdr:row>10</xdr:row>
      <xdr:rowOff>92285</xdr:rowOff>
    </xdr:from>
    <xdr:to>
      <xdr:col>30</xdr:col>
      <xdr:colOff>152400</xdr:colOff>
      <xdr:row>31</xdr:row>
      <xdr:rowOff>85725</xdr:rowOff>
    </xdr:to>
    <xdr:pic>
      <xdr:nvPicPr>
        <xdr:cNvPr id="7" name="Graphic 6" descr="Kitten outline">
          <a:extLst>
            <a:ext uri="{FF2B5EF4-FFF2-40B4-BE49-F238E27FC236}">
              <a16:creationId xmlns:a16="http://schemas.microsoft.com/office/drawing/2014/main" id="{0D9E7FFB-F583-E90A-0FF2-FE3843B7F2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3944599" y="1835360"/>
          <a:ext cx="5181601" cy="3593890"/>
        </a:xfrm>
        <a:prstGeom prst="rect">
          <a:avLst/>
        </a:prstGeom>
        <a:effectLst>
          <a:glow rad="127000">
            <a:srgbClr val="B93148">
              <a:alpha val="4000"/>
            </a:srgbClr>
          </a:glow>
          <a:innerShdw blurRad="114300">
            <a:srgbClr val="B93148">
              <a:alpha val="10000"/>
            </a:srgbClr>
          </a:innerShdw>
        </a:effectLst>
      </xdr:spPr>
    </xdr:pic>
    <xdr:clientData/>
  </xdr:twoCellAnchor>
  <xdr:twoCellAnchor>
    <xdr:from>
      <xdr:col>24</xdr:col>
      <xdr:colOff>447675</xdr:colOff>
      <xdr:row>10</xdr:row>
      <xdr:rowOff>123826</xdr:rowOff>
    </xdr:from>
    <xdr:to>
      <xdr:col>32</xdr:col>
      <xdr:colOff>57151</xdr:colOff>
      <xdr:row>12</xdr:row>
      <xdr:rowOff>104776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4715BA1C-9BAD-F308-B40B-D8384E8613AE}"/>
            </a:ext>
          </a:extLst>
        </xdr:cNvPr>
        <xdr:cNvSpPr txBox="1"/>
      </xdr:nvSpPr>
      <xdr:spPr>
        <a:xfrm>
          <a:off x="14049375" y="1866901"/>
          <a:ext cx="5991226" cy="323850"/>
        </a:xfrm>
        <a:prstGeom prst="rect">
          <a:avLst/>
        </a:prstGeom>
        <a:gradFill flip="none" rotWithShape="1">
          <a:gsLst>
            <a:gs pos="20000">
              <a:schemeClr val="tx1">
                <a:alpha val="80000"/>
              </a:schemeClr>
            </a:gs>
            <a:gs pos="80000">
              <a:schemeClr val="accent3">
                <a:lumMod val="60000"/>
                <a:alpha val="79000"/>
              </a:schemeClr>
            </a:gs>
          </a:gsLst>
          <a:lin ang="5400000" scaled="1"/>
          <a:tileRect/>
        </a:gradFill>
        <a:ln w="9525" cmpd="sng">
          <a:solidFill>
            <a:schemeClr val="tx1"/>
          </a:solidFill>
        </a:ln>
        <a:effectLst>
          <a:innerShdw blurRad="114300">
            <a:srgbClr val="B93148">
              <a:alpha val="75000"/>
            </a:srgbClr>
          </a:inn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400" b="1" i="1" baseline="0">
              <a:solidFill>
                <a:srgbClr val="ECB6BF"/>
              </a:solidFill>
              <a:effectLst/>
              <a:latin typeface="+mn-lt"/>
              <a:ea typeface="+mn-ea"/>
              <a:cs typeface="+mn-cs"/>
            </a:rPr>
            <a:t>Roaring Kitty IV buys on the $20 strike vs spot</a:t>
          </a:r>
          <a:endParaRPr lang="en-US" sz="1400" b="1" i="1">
            <a:solidFill>
              <a:srgbClr val="ECB6BF"/>
            </a:solidFill>
            <a:effectLst/>
          </a:endParaRPr>
        </a:p>
        <a:p>
          <a:endParaRPr lang="en-US" sz="1100"/>
        </a:p>
      </xdr:txBody>
    </xdr:sp>
    <xdr:clientData/>
  </xdr:twoCellAnchor>
  <xdr:twoCellAnchor>
    <xdr:from>
      <xdr:col>26</xdr:col>
      <xdr:colOff>419099</xdr:colOff>
      <xdr:row>23</xdr:row>
      <xdr:rowOff>123825</xdr:rowOff>
    </xdr:from>
    <xdr:to>
      <xdr:col>27</xdr:col>
      <xdr:colOff>485775</xdr:colOff>
      <xdr:row>24</xdr:row>
      <xdr:rowOff>133350</xdr:rowOff>
    </xdr:to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5FE4DABE-6614-1F17-F070-9DA48FC1E492}"/>
            </a:ext>
          </a:extLst>
        </xdr:cNvPr>
        <xdr:cNvSpPr txBox="1"/>
      </xdr:nvSpPr>
      <xdr:spPr>
        <a:xfrm>
          <a:off x="15925799" y="4095750"/>
          <a:ext cx="514351" cy="18097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r>
            <a:rPr lang="en-US" sz="1100" i="1">
              <a:solidFill>
                <a:srgbClr val="3FFF96"/>
              </a:solidFill>
            </a:rPr>
            <a:t>Start</a:t>
          </a:r>
        </a:p>
      </xdr:txBody>
    </xdr:sp>
    <xdr:clientData/>
  </xdr:twoCellAnchor>
  <xdr:twoCellAnchor>
    <xdr:from>
      <xdr:col>28</xdr:col>
      <xdr:colOff>57150</xdr:colOff>
      <xdr:row>21</xdr:row>
      <xdr:rowOff>85724</xdr:rowOff>
    </xdr:from>
    <xdr:to>
      <xdr:col>28</xdr:col>
      <xdr:colOff>514350</xdr:colOff>
      <xdr:row>22</xdr:row>
      <xdr:rowOff>95249</xdr:rowOff>
    </xdr:to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C86EE31C-8C6E-EE9F-2C4B-912A45CF5D54}"/>
            </a:ext>
          </a:extLst>
        </xdr:cNvPr>
        <xdr:cNvSpPr txBox="1"/>
      </xdr:nvSpPr>
      <xdr:spPr>
        <a:xfrm>
          <a:off x="17478375" y="3714749"/>
          <a:ext cx="457200" cy="18097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US" sz="1100" i="1">
              <a:solidFill>
                <a:srgbClr val="FF0000"/>
              </a:solidFill>
            </a:rPr>
            <a:t>End</a:t>
          </a:r>
        </a:p>
      </xdr:txBody>
    </xdr:sp>
    <xdr:clientData/>
  </xdr:twoCellAnchor>
  <xdr:twoCellAnchor>
    <xdr:from>
      <xdr:col>1</xdr:col>
      <xdr:colOff>0</xdr:colOff>
      <xdr:row>0</xdr:row>
      <xdr:rowOff>171450</xdr:rowOff>
    </xdr:from>
    <xdr:to>
      <xdr:col>3</xdr:col>
      <xdr:colOff>9525</xdr:colOff>
      <xdr:row>4</xdr:row>
      <xdr:rowOff>9525</xdr:rowOff>
    </xdr:to>
    <xdr:sp macro="" textlink="">
      <xdr:nvSpPr>
        <xdr:cNvPr id="11" name="Rectangle 10">
          <a:extLst>
            <a:ext uri="{FF2B5EF4-FFF2-40B4-BE49-F238E27FC236}">
              <a16:creationId xmlns:a16="http://schemas.microsoft.com/office/drawing/2014/main" id="{BCE89643-E25F-454D-0192-93E28E8F3B0D}"/>
            </a:ext>
          </a:extLst>
        </xdr:cNvPr>
        <xdr:cNvSpPr/>
      </xdr:nvSpPr>
      <xdr:spPr>
        <a:xfrm>
          <a:off x="609600" y="171450"/>
          <a:ext cx="1371600" cy="533400"/>
        </a:xfrm>
        <a:prstGeom prst="rect">
          <a:avLst/>
        </a:prstGeom>
        <a:noFill/>
        <a:ln>
          <a:solidFill>
            <a:srgbClr val="B93148"/>
          </a:solidFill>
        </a:ln>
        <a:effectLst>
          <a:outerShdw blurRad="63500" sx="102000" sy="102000" algn="ctr" rotWithShape="0">
            <a:srgbClr val="B93148"/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34</xdr:col>
      <xdr:colOff>9525</xdr:colOff>
      <xdr:row>14</xdr:row>
      <xdr:rowOff>166687</xdr:rowOff>
    </xdr:from>
    <xdr:to>
      <xdr:col>41</xdr:col>
      <xdr:colOff>314325</xdr:colOff>
      <xdr:row>30</xdr:row>
      <xdr:rowOff>166687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107FBBC-BCBE-9F1F-10B7-CC3422A0616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41</xdr:col>
      <xdr:colOff>304800</xdr:colOff>
      <xdr:row>15</xdr:row>
      <xdr:rowOff>66675</xdr:rowOff>
    </xdr:from>
    <xdr:to>
      <xdr:col>48</xdr:col>
      <xdr:colOff>533400</xdr:colOff>
      <xdr:row>31</xdr:row>
      <xdr:rowOff>66675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C0A507E2-96B4-4EE8-9F07-2F32D030994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5B0FD26-101F-4DB4-9F3F-B99EB6A4DF00}" name="Table22" displayName="Table22" ref="F9:I92" totalsRowShown="0" dataDxfId="6">
  <autoFilter ref="F9:I92" xr:uid="{E5C97A94-9ACB-4669-89DB-D1133E9BF928}">
    <filterColumn colId="0" hiddenButton="1"/>
    <filterColumn colId="1" hiddenButton="1"/>
    <filterColumn colId="2" hiddenButton="1"/>
    <filterColumn colId="3" hiddenButton="1"/>
  </autoFilter>
  <tableColumns count="4">
    <tableColumn id="1" xr3:uid="{4D0EB343-838B-40C2-8755-6FE0A1482A01}" name="IV" dataDxfId="5">
      <calculatedColumnFormula>F9+0.1</calculatedColumnFormula>
    </tableColumn>
    <tableColumn id="2" xr3:uid="{8A57C49A-8D32-4549-B4C3-0FC783E9763E}" name="Black-Scholes Straddle" dataDxfId="4">
      <calculatedColumnFormula>N10*2</calculatedColumnFormula>
    </tableColumn>
    <tableColumn id="3" xr3:uid="{A91F93F5-0E91-4023-89DE-2B80F364C816}" name="Approximated Straddle" dataDxfId="3">
      <calculatedColumnFormula>0.8*$D$1*F10*SQRT($D$5)</calculatedColumnFormula>
    </tableColumn>
    <tableColumn id="4" xr3:uid="{30CB3250-C0E2-45AF-A8F8-99CDFF23FFE7}" name="Error" dataDxfId="2" dataCellStyle="Percent">
      <calculatedColumnFormula>H10/N10-1</calculatedColumnFormula>
    </tableColumn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797DB4-539E-476A-A90E-D5C982E2455F}">
  <sheetPr codeName="Sheet13"/>
  <dimension ref="B4:S92"/>
  <sheetViews>
    <sheetView showGridLines="0" topLeftCell="A4" zoomScale="80" zoomScaleNormal="80" workbookViewId="0">
      <selection activeCell="K11" sqref="K11"/>
    </sheetView>
  </sheetViews>
  <sheetFormatPr defaultRowHeight="15" x14ac:dyDescent="0.25"/>
  <cols>
    <col min="1" max="2" width="9.140625" style="2"/>
    <col min="3" max="3" width="12.140625" style="2" bestFit="1" customWidth="1"/>
    <col min="4" max="10" width="9.140625" style="2"/>
    <col min="11" max="11" width="10.7109375" style="2" bestFit="1" customWidth="1"/>
    <col min="12" max="12" width="25.85546875" style="2" bestFit="1" customWidth="1"/>
    <col min="13" max="15" width="9.140625" style="2"/>
    <col min="16" max="16" width="11.5703125" style="2" bestFit="1" customWidth="1"/>
    <col min="17" max="17" width="17.42578125" style="2" customWidth="1"/>
    <col min="18" max="18" width="9.140625" style="2"/>
    <col min="19" max="19" width="13.140625" style="2" bestFit="1" customWidth="1"/>
    <col min="20" max="16384" width="9.140625" style="2"/>
  </cols>
  <sheetData>
    <row r="4" spans="3:19" x14ac:dyDescent="0.25">
      <c r="C4" s="2" t="s">
        <v>2</v>
      </c>
      <c r="D4" s="2">
        <v>100</v>
      </c>
    </row>
    <row r="5" spans="3:19" x14ac:dyDescent="0.25">
      <c r="C5" s="2" t="s">
        <v>3</v>
      </c>
      <c r="D5" s="2">
        <v>100</v>
      </c>
    </row>
    <row r="6" spans="3:19" x14ac:dyDescent="0.25">
      <c r="C6" s="2" t="s">
        <v>4</v>
      </c>
      <c r="D6" s="2">
        <v>0</v>
      </c>
    </row>
    <row r="7" spans="3:19" x14ac:dyDescent="0.25">
      <c r="C7" s="2" t="s">
        <v>5</v>
      </c>
      <c r="D7" s="2">
        <v>0.3</v>
      </c>
    </row>
    <row r="8" spans="3:19" x14ac:dyDescent="0.25">
      <c r="C8" s="2" t="s">
        <v>6</v>
      </c>
      <c r="D8" s="2">
        <v>1</v>
      </c>
    </row>
    <row r="10" spans="3:19" x14ac:dyDescent="0.25">
      <c r="F10" s="2" t="s">
        <v>7</v>
      </c>
      <c r="G10" s="2" t="s">
        <v>8</v>
      </c>
      <c r="H10" s="2" t="s">
        <v>10</v>
      </c>
      <c r="I10" s="2" t="s">
        <v>9</v>
      </c>
      <c r="J10" s="2" t="s">
        <v>13</v>
      </c>
      <c r="K10" s="2" t="s">
        <v>11</v>
      </c>
      <c r="L10" s="2" t="s">
        <v>12</v>
      </c>
      <c r="M10" s="2" t="s">
        <v>1</v>
      </c>
      <c r="P10" s="3" t="s">
        <v>15</v>
      </c>
      <c r="Q10" s="3" t="str">
        <f>J10</f>
        <v>N(d2)</v>
      </c>
      <c r="R10" s="3" t="str">
        <f>H10</f>
        <v>Delta</v>
      </c>
      <c r="S10" s="3" t="str">
        <f>K10</f>
        <v>Call Value</v>
      </c>
    </row>
    <row r="11" spans="3:19" x14ac:dyDescent="0.25">
      <c r="F11" s="5">
        <v>0.1</v>
      </c>
      <c r="G11" s="4" cm="1">
        <f t="array" ref="G11">D_one($D$4,$D$5,$D$8,$D$6,$D$6,F11)</f>
        <v>5.000000000000001E-2</v>
      </c>
      <c r="H11" s="8">
        <f>_xlfn.NORM.DIST(G11,0,1,TRUE)</f>
        <v>0.51993880583837249</v>
      </c>
      <c r="I11" s="2">
        <f>G11-(F11*SQRT($D$8))</f>
        <v>-4.9999999999999996E-2</v>
      </c>
      <c r="J11" s="8">
        <f>_xlfn.NORM.DIST(I11,0,1,TRUE)</f>
        <v>0.48006119416162751</v>
      </c>
      <c r="K11" s="4" cm="1">
        <f t="array" ref="K11">GBlackScholes("c",$D$4,$D$5,$D$8,$D$6,$D$6,F11)</f>
        <v>3.9877611676744973</v>
      </c>
      <c r="L11" s="4">
        <f>0.4*$D$4*F11*SQRT($D$8)</f>
        <v>4</v>
      </c>
      <c r="M11" s="9">
        <f>L11/K11-1</f>
        <v>3.0690986272479126E-3</v>
      </c>
      <c r="P11" s="7">
        <f>F11</f>
        <v>0.1</v>
      </c>
      <c r="Q11" s="6">
        <f>J11</f>
        <v>0.48006119416162751</v>
      </c>
      <c r="R11" s="15">
        <f>H11</f>
        <v>0.51993880583837249</v>
      </c>
      <c r="S11" s="16">
        <f>K11</f>
        <v>3.9877611676744973</v>
      </c>
    </row>
    <row r="12" spans="3:19" x14ac:dyDescent="0.25">
      <c r="F12" s="7">
        <f>F11+0.05</f>
        <v>0.15000000000000002</v>
      </c>
      <c r="G12" s="4" cm="1">
        <f t="array" ref="G12">D_one($D$4,$D$5,$D$8,$D$6,$D$6,F12)</f>
        <v>7.5000000000000011E-2</v>
      </c>
      <c r="H12" s="8">
        <f t="shared" ref="H12:H92" si="0">_xlfn.NORM.DIST(G12,0,1,TRUE)</f>
        <v>0.52989264405289482</v>
      </c>
      <c r="I12" s="2">
        <f t="shared" ref="I12:I50" si="1">G12-(F12*SQRT($D$8))</f>
        <v>-7.5000000000000011E-2</v>
      </c>
      <c r="J12" s="8">
        <f t="shared" ref="J12:J92" si="2">_xlfn.NORM.DIST(I12,0,1,TRUE)</f>
        <v>0.47010735594710523</v>
      </c>
      <c r="K12" s="4" cm="1">
        <f t="array" ref="K12">GBlackScholes("c",$D$4,$D$5,$D$8,$D$6,$D$6,F12)</f>
        <v>5.9785288105789425</v>
      </c>
      <c r="L12" s="4">
        <f t="shared" ref="L12:L75" si="3">0.4*$D$4*F12*SQRT($D$8)</f>
        <v>6.0000000000000009</v>
      </c>
      <c r="M12" s="9">
        <f t="shared" ref="M12:M75" si="4">L12/K12-1</f>
        <v>3.5913834492300456E-3</v>
      </c>
      <c r="P12" s="7">
        <f t="shared" ref="P12:P75" si="5">F12</f>
        <v>0.15000000000000002</v>
      </c>
      <c r="Q12" s="6">
        <f t="shared" ref="Q12:Q75" si="6">J12</f>
        <v>0.47010735594710523</v>
      </c>
      <c r="R12" s="15">
        <f t="shared" ref="R12:R75" si="7">H12</f>
        <v>0.52989264405289482</v>
      </c>
      <c r="S12" s="16">
        <f t="shared" ref="S12:S75" si="8">K12</f>
        <v>5.9785288105789425</v>
      </c>
    </row>
    <row r="13" spans="3:19" x14ac:dyDescent="0.25">
      <c r="F13" s="7">
        <f>F12+0.05</f>
        <v>0.2</v>
      </c>
      <c r="G13" s="4" cm="1">
        <f t="array" ref="G13">D_one($D$4,$D$5,$D$8,$D$6,$D$6,F13)</f>
        <v>0.10000000000000002</v>
      </c>
      <c r="H13" s="8">
        <f t="shared" si="0"/>
        <v>0.53982783727702899</v>
      </c>
      <c r="I13" s="2">
        <f t="shared" si="1"/>
        <v>-9.9999999999999992E-2</v>
      </c>
      <c r="J13" s="8">
        <f t="shared" si="2"/>
        <v>0.46017216272297101</v>
      </c>
      <c r="K13" s="4" cm="1">
        <f t="array" ref="K13">GBlackScholes("c",$D$4,$D$5,$D$8,$D$6,$D$6,F13)</f>
        <v>7.9655674554057976</v>
      </c>
      <c r="L13" s="4">
        <f t="shared" si="3"/>
        <v>8</v>
      </c>
      <c r="M13" s="9">
        <f t="shared" si="4"/>
        <v>4.3226731537919783E-3</v>
      </c>
      <c r="P13" s="7">
        <f t="shared" si="5"/>
        <v>0.2</v>
      </c>
      <c r="Q13" s="6">
        <f t="shared" si="6"/>
        <v>0.46017216272297101</v>
      </c>
      <c r="R13" s="15">
        <f t="shared" si="7"/>
        <v>0.53982783727702899</v>
      </c>
      <c r="S13" s="16">
        <f t="shared" si="8"/>
        <v>7.9655674554057976</v>
      </c>
    </row>
    <row r="14" spans="3:19" x14ac:dyDescent="0.25">
      <c r="F14" s="7">
        <f t="shared" ref="F14:F77" si="9">F13+0.05</f>
        <v>0.25</v>
      </c>
      <c r="G14" s="4" cm="1">
        <f t="array" ref="G14">D_one($D$4,$D$5,$D$8,$D$6,$D$6,F14)</f>
        <v>0.125</v>
      </c>
      <c r="H14" s="8">
        <f t="shared" si="0"/>
        <v>0.54973822483011292</v>
      </c>
      <c r="I14" s="2">
        <f t="shared" si="1"/>
        <v>-0.125</v>
      </c>
      <c r="J14" s="8">
        <f t="shared" si="2"/>
        <v>0.45026177516988708</v>
      </c>
      <c r="K14" s="4" cm="1">
        <f t="array" ref="K14">GBlackScholes("c",$D$4,$D$5,$D$8,$D$6,$D$6,F14)</f>
        <v>9.9476449660225832</v>
      </c>
      <c r="L14" s="4">
        <f t="shared" si="3"/>
        <v>10</v>
      </c>
      <c r="M14" s="9">
        <f t="shared" si="4"/>
        <v>5.2630581566031065E-3</v>
      </c>
      <c r="P14" s="7">
        <f t="shared" si="5"/>
        <v>0.25</v>
      </c>
      <c r="Q14" s="6">
        <f t="shared" si="6"/>
        <v>0.45026177516988708</v>
      </c>
      <c r="R14" s="15">
        <f t="shared" si="7"/>
        <v>0.54973822483011292</v>
      </c>
      <c r="S14" s="16">
        <f t="shared" si="8"/>
        <v>9.9476449660225832</v>
      </c>
    </row>
    <row r="15" spans="3:19" x14ac:dyDescent="0.25">
      <c r="F15" s="7">
        <f t="shared" si="9"/>
        <v>0.3</v>
      </c>
      <c r="G15" s="4" cm="1">
        <f t="array" ref="G15">D_one($D$4,$D$5,$D$8,$D$6,$D$6,F15)</f>
        <v>0.15</v>
      </c>
      <c r="H15" s="8">
        <f t="shared" si="0"/>
        <v>0.5596176923702425</v>
      </c>
      <c r="I15" s="2">
        <f t="shared" si="1"/>
        <v>-0.15</v>
      </c>
      <c r="J15" s="8">
        <f t="shared" si="2"/>
        <v>0.4403823076297575</v>
      </c>
      <c r="K15" s="4" cm="1">
        <f t="array" ref="K15">GBlackScholes("c",$D$4,$D$5,$D$8,$D$6,$D$6,F15)</f>
        <v>11.923538474048506</v>
      </c>
      <c r="L15" s="4">
        <f t="shared" si="3"/>
        <v>12</v>
      </c>
      <c r="M15" s="9">
        <f t="shared" si="4"/>
        <v>6.4126539380833236E-3</v>
      </c>
      <c r="P15" s="7">
        <f t="shared" si="5"/>
        <v>0.3</v>
      </c>
      <c r="Q15" s="6">
        <f t="shared" si="6"/>
        <v>0.4403823076297575</v>
      </c>
      <c r="R15" s="15">
        <f t="shared" si="7"/>
        <v>0.5596176923702425</v>
      </c>
      <c r="S15" s="16">
        <f t="shared" si="8"/>
        <v>11.923538474048506</v>
      </c>
    </row>
    <row r="16" spans="3:19" x14ac:dyDescent="0.25">
      <c r="F16" s="7">
        <f t="shared" si="9"/>
        <v>0.35</v>
      </c>
      <c r="G16" s="4" cm="1">
        <f t="array" ref="G16">D_one($D$4,$D$5,$D$8,$D$6,$D$6,F16)</f>
        <v>0.17499999999999999</v>
      </c>
      <c r="H16" s="8">
        <f t="shared" si="0"/>
        <v>0.56946018320767366</v>
      </c>
      <c r="I16" s="2">
        <f t="shared" si="1"/>
        <v>-0.17499999999999999</v>
      </c>
      <c r="J16" s="8">
        <f t="shared" si="2"/>
        <v>0.43053981679232634</v>
      </c>
      <c r="K16" s="4" cm="1">
        <f t="array" ref="K16">GBlackScholes("c",$D$4,$D$5,$D$8,$D$6,$D$6,F16)</f>
        <v>13.892036641534755</v>
      </c>
      <c r="L16" s="4">
        <f t="shared" si="3"/>
        <v>14</v>
      </c>
      <c r="M16" s="9">
        <f t="shared" si="4"/>
        <v>7.7716004680301598E-3</v>
      </c>
      <c r="P16" s="7">
        <f t="shared" si="5"/>
        <v>0.35</v>
      </c>
      <c r="Q16" s="6">
        <f t="shared" si="6"/>
        <v>0.43053981679232634</v>
      </c>
      <c r="R16" s="15">
        <f t="shared" si="7"/>
        <v>0.56946018320767366</v>
      </c>
      <c r="S16" s="16">
        <f t="shared" si="8"/>
        <v>13.892036641534755</v>
      </c>
    </row>
    <row r="17" spans="6:19" x14ac:dyDescent="0.25">
      <c r="F17" s="7">
        <f t="shared" si="9"/>
        <v>0.39999999999999997</v>
      </c>
      <c r="G17" s="4" cm="1">
        <f t="array" ref="G17">D_one($D$4,$D$5,$D$8,$D$6,$D$6,F17)</f>
        <v>0.19999999999999998</v>
      </c>
      <c r="H17" s="8">
        <f t="shared" si="0"/>
        <v>0.57925970943910299</v>
      </c>
      <c r="I17" s="2">
        <f t="shared" si="1"/>
        <v>-0.19999999999999998</v>
      </c>
      <c r="J17" s="8">
        <f t="shared" si="2"/>
        <v>0.42074029056089696</v>
      </c>
      <c r="K17" s="4" cm="1">
        <f t="array" ref="K17">GBlackScholes("c",$D$4,$D$5,$D$8,$D$6,$D$6,F17)</f>
        <v>15.851941887820619</v>
      </c>
      <c r="L17" s="4">
        <f t="shared" si="3"/>
        <v>15.999999999999998</v>
      </c>
      <c r="M17" s="9">
        <f t="shared" si="4"/>
        <v>9.3400615033250034E-3</v>
      </c>
      <c r="P17" s="7">
        <f t="shared" si="5"/>
        <v>0.39999999999999997</v>
      </c>
      <c r="Q17" s="6">
        <f t="shared" si="6"/>
        <v>0.42074029056089696</v>
      </c>
      <c r="R17" s="15">
        <f t="shared" si="7"/>
        <v>0.57925970943910299</v>
      </c>
      <c r="S17" s="16">
        <f t="shared" si="8"/>
        <v>15.851941887820619</v>
      </c>
    </row>
    <row r="18" spans="6:19" x14ac:dyDescent="0.25">
      <c r="F18" s="7">
        <f t="shared" si="9"/>
        <v>0.44999999999999996</v>
      </c>
      <c r="G18" s="4" cm="1">
        <f t="array" ref="G18">D_one($D$4,$D$5,$D$8,$D$6,$D$6,F18)</f>
        <v>0.22499999999999998</v>
      </c>
      <c r="H18" s="8">
        <f t="shared" si="0"/>
        <v>0.58901036286872965</v>
      </c>
      <c r="I18" s="2">
        <f t="shared" si="1"/>
        <v>-0.22499999999999998</v>
      </c>
      <c r="J18" s="8">
        <f t="shared" si="2"/>
        <v>0.41098963713127035</v>
      </c>
      <c r="K18" s="4" cm="1">
        <f t="array" ref="K18">GBlackScholes("c",$D$4,$D$5,$D$8,$D$6,$D$6,F18)</f>
        <v>17.802072573745932</v>
      </c>
      <c r="L18" s="4">
        <f t="shared" si="3"/>
        <v>18</v>
      </c>
      <c r="M18" s="9">
        <f t="shared" si="4"/>
        <v>1.1118223759292389E-2</v>
      </c>
      <c r="P18" s="7">
        <f t="shared" si="5"/>
        <v>0.44999999999999996</v>
      </c>
      <c r="Q18" s="6">
        <f t="shared" si="6"/>
        <v>0.41098963713127035</v>
      </c>
      <c r="R18" s="15">
        <f t="shared" si="7"/>
        <v>0.58901036286872965</v>
      </c>
      <c r="S18" s="16">
        <f t="shared" si="8"/>
        <v>17.802072573745932</v>
      </c>
    </row>
    <row r="19" spans="6:19" x14ac:dyDescent="0.25">
      <c r="F19" s="7">
        <f t="shared" si="9"/>
        <v>0.49999999999999994</v>
      </c>
      <c r="G19" s="4" cm="1">
        <f t="array" ref="G19">D_one($D$4,$D$5,$D$8,$D$6,$D$6,F19)</f>
        <v>0.24999999999999997</v>
      </c>
      <c r="H19" s="8">
        <f t="shared" si="0"/>
        <v>0.5987063256829237</v>
      </c>
      <c r="I19" s="2">
        <f t="shared" si="1"/>
        <v>-0.24999999999999997</v>
      </c>
      <c r="J19" s="8">
        <f t="shared" si="2"/>
        <v>0.4012936743170763</v>
      </c>
      <c r="K19" s="4" cm="1">
        <f t="array" ref="K19">GBlackScholes("c",$D$4,$D$5,$D$8,$D$6,$D$6,F19)</f>
        <v>19.74126513658474</v>
      </c>
      <c r="L19" s="4">
        <f t="shared" si="3"/>
        <v>19.999999999999996</v>
      </c>
      <c r="M19" s="9">
        <f t="shared" si="4"/>
        <v>1.3106295955458647E-2</v>
      </c>
      <c r="P19" s="7">
        <f t="shared" si="5"/>
        <v>0.49999999999999994</v>
      </c>
      <c r="Q19" s="6">
        <f t="shared" si="6"/>
        <v>0.4012936743170763</v>
      </c>
      <c r="R19" s="15">
        <f t="shared" si="7"/>
        <v>0.5987063256829237</v>
      </c>
      <c r="S19" s="16">
        <f t="shared" si="8"/>
        <v>19.74126513658474</v>
      </c>
    </row>
    <row r="20" spans="6:19" x14ac:dyDescent="0.25">
      <c r="F20" s="7">
        <f t="shared" si="9"/>
        <v>0.54999999999999993</v>
      </c>
      <c r="G20" s="4" cm="1">
        <f t="array" ref="G20">D_one($D$4,$D$5,$D$8,$D$6,$D$6,F20)</f>
        <v>0.27499999999999997</v>
      </c>
      <c r="H20" s="8">
        <f t="shared" si="0"/>
        <v>0.60834188084639473</v>
      </c>
      <c r="I20" s="2">
        <f t="shared" si="1"/>
        <v>-0.27499999999999997</v>
      </c>
      <c r="J20" s="8">
        <f t="shared" si="2"/>
        <v>0.39165811915360521</v>
      </c>
      <c r="K20" s="4" cm="1">
        <f t="array" ref="K20">GBlackScholes("c",$D$4,$D$5,$D$8,$D$6,$D$6,F20)</f>
        <v>21.668376169278954</v>
      </c>
      <c r="L20" s="4">
        <f t="shared" si="3"/>
        <v>21.999999999999996</v>
      </c>
      <c r="M20" s="9">
        <f t="shared" si="4"/>
        <v>1.5304507736542572E-2</v>
      </c>
      <c r="P20" s="7">
        <f t="shared" si="5"/>
        <v>0.54999999999999993</v>
      </c>
      <c r="Q20" s="6">
        <f t="shared" si="6"/>
        <v>0.39165811915360521</v>
      </c>
      <c r="R20" s="15">
        <f t="shared" si="7"/>
        <v>0.60834188084639473</v>
      </c>
      <c r="S20" s="16">
        <f t="shared" si="8"/>
        <v>21.668376169278954</v>
      </c>
    </row>
    <row r="21" spans="6:19" x14ac:dyDescent="0.25">
      <c r="F21" s="7">
        <f t="shared" si="9"/>
        <v>0.6</v>
      </c>
      <c r="G21" s="4" cm="1">
        <f t="array" ref="G21">D_one($D$4,$D$5,$D$8,$D$6,$D$6,F21)</f>
        <v>0.3</v>
      </c>
      <c r="H21" s="8">
        <f t="shared" si="0"/>
        <v>0.61791142218895267</v>
      </c>
      <c r="I21" s="2">
        <f t="shared" si="1"/>
        <v>-0.3</v>
      </c>
      <c r="J21" s="8">
        <f t="shared" si="2"/>
        <v>0.38208857781104733</v>
      </c>
      <c r="K21" s="4" cm="1">
        <f t="array" ref="K21">GBlackScholes("c",$D$4,$D$5,$D$8,$D$6,$D$6,F21)</f>
        <v>23.582284437790513</v>
      </c>
      <c r="L21" s="4">
        <f t="shared" si="3"/>
        <v>24</v>
      </c>
      <c r="M21" s="9">
        <f t="shared" si="4"/>
        <v>1.7713108469682437E-2</v>
      </c>
      <c r="P21" s="7">
        <f t="shared" si="5"/>
        <v>0.6</v>
      </c>
      <c r="Q21" s="6">
        <f t="shared" si="6"/>
        <v>0.38208857781104733</v>
      </c>
      <c r="R21" s="15">
        <f t="shared" si="7"/>
        <v>0.61791142218895267</v>
      </c>
      <c r="S21" s="16">
        <f t="shared" si="8"/>
        <v>23.582284437790513</v>
      </c>
    </row>
    <row r="22" spans="6:19" x14ac:dyDescent="0.25">
      <c r="F22" s="7">
        <f t="shared" si="9"/>
        <v>0.65</v>
      </c>
      <c r="G22" s="4" cm="1">
        <f t="array" ref="G22">D_one($D$4,$D$5,$D$8,$D$6,$D$6,F22)</f>
        <v>0.32500000000000001</v>
      </c>
      <c r="H22" s="8">
        <f t="shared" si="0"/>
        <v>0.62740946415328402</v>
      </c>
      <c r="I22" s="2">
        <f t="shared" si="1"/>
        <v>-0.32500000000000001</v>
      </c>
      <c r="J22" s="8">
        <f t="shared" si="2"/>
        <v>0.37259053584671598</v>
      </c>
      <c r="K22" s="4" cm="1">
        <f t="array" ref="K22">GBlackScholes("c",$D$4,$D$5,$D$8,$D$6,$D$6,F22)</f>
        <v>25.481892830656804</v>
      </c>
      <c r="L22" s="4">
        <f t="shared" si="3"/>
        <v>26</v>
      </c>
      <c r="M22" s="9">
        <f t="shared" si="4"/>
        <v>2.0332365919060402E-2</v>
      </c>
      <c r="P22" s="7">
        <f t="shared" si="5"/>
        <v>0.65</v>
      </c>
      <c r="Q22" s="6">
        <f t="shared" si="6"/>
        <v>0.37259053584671598</v>
      </c>
      <c r="R22" s="15">
        <f t="shared" si="7"/>
        <v>0.62740946415328402</v>
      </c>
      <c r="S22" s="16">
        <f t="shared" si="8"/>
        <v>25.481892830656804</v>
      </c>
    </row>
    <row r="23" spans="6:19" x14ac:dyDescent="0.25">
      <c r="F23" s="7">
        <f t="shared" si="9"/>
        <v>0.70000000000000007</v>
      </c>
      <c r="G23" s="4" cm="1">
        <f t="array" ref="G23">D_one($D$4,$D$5,$D$8,$D$6,$D$6,F23)</f>
        <v>0.35000000000000003</v>
      </c>
      <c r="H23" s="8">
        <f t="shared" si="0"/>
        <v>0.6368306511756191</v>
      </c>
      <c r="I23" s="2">
        <f t="shared" si="1"/>
        <v>-0.35000000000000003</v>
      </c>
      <c r="J23" s="8">
        <f t="shared" si="2"/>
        <v>0.3631693488243809</v>
      </c>
      <c r="K23" s="4" cm="1">
        <f t="array" ref="K23">GBlackScholes("c",$D$4,$D$5,$D$8,$D$6,$D$6,F23)</f>
        <v>27.366130235123819</v>
      </c>
      <c r="L23" s="4">
        <f t="shared" si="3"/>
        <v>28.000000000000004</v>
      </c>
      <c r="M23" s="9">
        <f t="shared" si="4"/>
        <v>2.316256479926504E-2</v>
      </c>
      <c r="P23" s="7">
        <f t="shared" si="5"/>
        <v>0.70000000000000007</v>
      </c>
      <c r="Q23" s="6">
        <f t="shared" si="6"/>
        <v>0.3631693488243809</v>
      </c>
      <c r="R23" s="15">
        <f t="shared" si="7"/>
        <v>0.6368306511756191</v>
      </c>
      <c r="S23" s="16">
        <f t="shared" si="8"/>
        <v>27.366130235123819</v>
      </c>
    </row>
    <row r="24" spans="6:19" x14ac:dyDescent="0.25">
      <c r="F24" s="7">
        <f t="shared" si="9"/>
        <v>0.75000000000000011</v>
      </c>
      <c r="G24" s="4" cm="1">
        <f t="array" ref="G24">D_one($D$4,$D$5,$D$8,$D$6,$D$6,F24)</f>
        <v>0.37500000000000011</v>
      </c>
      <c r="H24" s="8">
        <f t="shared" si="0"/>
        <v>0.64616976667272386</v>
      </c>
      <c r="I24" s="2">
        <f t="shared" si="1"/>
        <v>-0.375</v>
      </c>
      <c r="J24" s="8">
        <f t="shared" si="2"/>
        <v>0.35383023332727614</v>
      </c>
      <c r="K24" s="4" cm="1">
        <f t="array" ref="K24">GBlackScholes("c",$D$4,$D$5,$D$8,$D$6,$D$6,F24)</f>
        <v>29.233953334544754</v>
      </c>
      <c r="L24" s="4">
        <f t="shared" si="3"/>
        <v>30.000000000000004</v>
      </c>
      <c r="M24" s="9">
        <f t="shared" si="4"/>
        <v>2.6204005208903425E-2</v>
      </c>
      <c r="P24" s="7">
        <f t="shared" si="5"/>
        <v>0.75000000000000011</v>
      </c>
      <c r="Q24" s="6">
        <f t="shared" si="6"/>
        <v>0.35383023332727614</v>
      </c>
      <c r="R24" s="15">
        <f t="shared" si="7"/>
        <v>0.64616976667272386</v>
      </c>
      <c r="S24" s="16">
        <f t="shared" si="8"/>
        <v>29.233953334544754</v>
      </c>
    </row>
    <row r="25" spans="6:19" x14ac:dyDescent="0.25">
      <c r="F25" s="7">
        <f t="shared" si="9"/>
        <v>0.80000000000000016</v>
      </c>
      <c r="G25" s="4" cm="1">
        <f t="array" ref="G25">D_one($D$4,$D$5,$D$8,$D$6,$D$6,F25)</f>
        <v>0.40000000000000008</v>
      </c>
      <c r="H25" s="8">
        <f t="shared" si="0"/>
        <v>0.65542174161032429</v>
      </c>
      <c r="I25" s="2">
        <f t="shared" si="1"/>
        <v>-0.40000000000000008</v>
      </c>
      <c r="J25" s="8">
        <f t="shared" si="2"/>
        <v>0.34457825838967576</v>
      </c>
      <c r="K25" s="4" cm="1">
        <f t="array" ref="K25">GBlackScholes("c",$D$4,$D$5,$D$8,$D$6,$D$6,F25)</f>
        <v>31.084348322064852</v>
      </c>
      <c r="L25" s="4">
        <f t="shared" si="3"/>
        <v>32.000000000000007</v>
      </c>
      <c r="M25" s="9">
        <f t="shared" si="4"/>
        <v>2.9457000946202516E-2</v>
      </c>
      <c r="P25" s="7">
        <f t="shared" si="5"/>
        <v>0.80000000000000016</v>
      </c>
      <c r="Q25" s="6">
        <f t="shared" si="6"/>
        <v>0.34457825838967576</v>
      </c>
      <c r="R25" s="15">
        <f t="shared" si="7"/>
        <v>0.65542174161032429</v>
      </c>
      <c r="S25" s="16">
        <f t="shared" si="8"/>
        <v>31.084348322064852</v>
      </c>
    </row>
    <row r="26" spans="6:19" x14ac:dyDescent="0.25">
      <c r="F26" s="7">
        <f t="shared" si="9"/>
        <v>0.8500000000000002</v>
      </c>
      <c r="G26" s="4" cm="1">
        <f t="array" ref="G26">D_one($D$4,$D$5,$D$8,$D$6,$D$6,F26)</f>
        <v>0.4250000000000001</v>
      </c>
      <c r="H26" s="8">
        <f t="shared" si="0"/>
        <v>0.66458166262983054</v>
      </c>
      <c r="I26" s="2">
        <f t="shared" si="1"/>
        <v>-0.4250000000000001</v>
      </c>
      <c r="J26" s="8">
        <f t="shared" si="2"/>
        <v>0.33541833737016946</v>
      </c>
      <c r="K26" s="4" cm="1">
        <f t="array" ref="K26">GBlackScholes("c",$D$4,$D$5,$D$8,$D$6,$D$6,F26)</f>
        <v>32.916332525966105</v>
      </c>
      <c r="L26" s="4">
        <f t="shared" si="3"/>
        <v>34.000000000000007</v>
      </c>
      <c r="M26" s="9">
        <f t="shared" si="4"/>
        <v>3.2921877708552483E-2</v>
      </c>
      <c r="P26" s="7">
        <f t="shared" si="5"/>
        <v>0.8500000000000002</v>
      </c>
      <c r="Q26" s="6">
        <f t="shared" si="6"/>
        <v>0.33541833737016946</v>
      </c>
      <c r="R26" s="15">
        <f t="shared" si="7"/>
        <v>0.66458166262983054</v>
      </c>
      <c r="S26" s="16">
        <f t="shared" si="8"/>
        <v>32.916332525966105</v>
      </c>
    </row>
    <row r="27" spans="6:19" x14ac:dyDescent="0.25">
      <c r="F27" s="7">
        <f t="shared" si="9"/>
        <v>0.90000000000000024</v>
      </c>
      <c r="G27" s="4" cm="1">
        <f t="array" ref="G27">D_one($D$4,$D$5,$D$8,$D$6,$D$6,F27)</f>
        <v>0.45000000000000007</v>
      </c>
      <c r="H27" s="8">
        <f t="shared" si="0"/>
        <v>0.67364477971208003</v>
      </c>
      <c r="I27" s="2">
        <f t="shared" si="1"/>
        <v>-0.45000000000000018</v>
      </c>
      <c r="J27" s="8">
        <f t="shared" si="2"/>
        <v>0.32635522028791997</v>
      </c>
      <c r="K27" s="4" cm="1">
        <f t="array" ref="K27">GBlackScholes("c",$D$4,$D$5,$D$8,$D$6,$D$6,F27)</f>
        <v>34.728955942416</v>
      </c>
      <c r="L27" s="4">
        <f t="shared" si="3"/>
        <v>36.000000000000007</v>
      </c>
      <c r="M27" s="9">
        <f t="shared" si="4"/>
        <v>3.6598971178158024E-2</v>
      </c>
      <c r="P27" s="7">
        <f t="shared" si="5"/>
        <v>0.90000000000000024</v>
      </c>
      <c r="Q27" s="6">
        <f t="shared" si="6"/>
        <v>0.32635522028791997</v>
      </c>
      <c r="R27" s="15">
        <f t="shared" si="7"/>
        <v>0.67364477971208003</v>
      </c>
      <c r="S27" s="16">
        <f t="shared" si="8"/>
        <v>34.728955942416</v>
      </c>
    </row>
    <row r="28" spans="6:19" x14ac:dyDescent="0.25">
      <c r="F28" s="7">
        <f t="shared" si="9"/>
        <v>0.95000000000000029</v>
      </c>
      <c r="G28" s="4" cm="1">
        <f t="array" ref="G28">D_one($D$4,$D$5,$D$8,$D$6,$D$6,F28)</f>
        <v>0.47500000000000014</v>
      </c>
      <c r="H28" s="8">
        <f t="shared" si="0"/>
        <v>0.68260651335874101</v>
      </c>
      <c r="I28" s="2">
        <f t="shared" si="1"/>
        <v>-0.47500000000000014</v>
      </c>
      <c r="J28" s="8">
        <f t="shared" si="2"/>
        <v>0.31739348664125899</v>
      </c>
      <c r="K28" s="4" cm="1">
        <f t="array" ref="K28">GBlackScholes("c",$D$4,$D$5,$D$8,$D$6,$D$6,F28)</f>
        <v>36.521302671748202</v>
      </c>
      <c r="L28" s="4">
        <f t="shared" si="3"/>
        <v>38.000000000000014</v>
      </c>
      <c r="M28" s="9">
        <f t="shared" si="4"/>
        <v>4.0488624996273481E-2</v>
      </c>
      <c r="P28" s="7">
        <f t="shared" si="5"/>
        <v>0.95000000000000029</v>
      </c>
      <c r="Q28" s="6">
        <f t="shared" si="6"/>
        <v>0.31739348664125899</v>
      </c>
      <c r="R28" s="15">
        <f t="shared" si="7"/>
        <v>0.68260651335874101</v>
      </c>
      <c r="S28" s="16">
        <f t="shared" si="8"/>
        <v>36.521302671748202</v>
      </c>
    </row>
    <row r="29" spans="6:19" x14ac:dyDescent="0.25">
      <c r="F29" s="7">
        <f t="shared" si="9"/>
        <v>1.0000000000000002</v>
      </c>
      <c r="G29" s="4" cm="1">
        <f t="array" ref="G29">D_one($D$4,$D$5,$D$8,$D$6,$D$6,F29)</f>
        <v>0.50000000000000011</v>
      </c>
      <c r="H29" s="8">
        <f t="shared" si="0"/>
        <v>0.69146246127401312</v>
      </c>
      <c r="I29" s="2">
        <f t="shared" si="1"/>
        <v>-0.50000000000000011</v>
      </c>
      <c r="J29" s="8">
        <f t="shared" si="2"/>
        <v>0.30853753872598688</v>
      </c>
      <c r="K29" s="4" cm="1">
        <f t="array" ref="K29">GBlackScholes("c",$D$4,$D$5,$D$8,$D$6,$D$6,F29)</f>
        <v>38.292492254802625</v>
      </c>
      <c r="L29" s="4">
        <f t="shared" si="3"/>
        <v>40.000000000000007</v>
      </c>
      <c r="M29" s="9">
        <f t="shared" si="4"/>
        <v>4.4591188628711587E-2</v>
      </c>
      <c r="P29" s="7">
        <f t="shared" si="5"/>
        <v>1.0000000000000002</v>
      </c>
      <c r="Q29" s="6">
        <f t="shared" si="6"/>
        <v>0.30853753872598688</v>
      </c>
      <c r="R29" s="15">
        <f t="shared" si="7"/>
        <v>0.69146246127401312</v>
      </c>
      <c r="S29" s="16">
        <f t="shared" si="8"/>
        <v>38.292492254802625</v>
      </c>
    </row>
    <row r="30" spans="6:19" x14ac:dyDescent="0.25">
      <c r="F30" s="7">
        <f t="shared" si="9"/>
        <v>1.0500000000000003</v>
      </c>
      <c r="G30" s="4" cm="1">
        <f t="array" ref="G30">D_one($D$4,$D$5,$D$8,$D$6,$D$6,F30)</f>
        <v>0.52500000000000013</v>
      </c>
      <c r="H30" s="8">
        <f t="shared" si="0"/>
        <v>0.70020840453130417</v>
      </c>
      <c r="I30" s="2">
        <f t="shared" si="1"/>
        <v>-0.52500000000000013</v>
      </c>
      <c r="J30" s="8">
        <f t="shared" si="2"/>
        <v>0.29979159546869583</v>
      </c>
      <c r="K30" s="4" cm="1">
        <f t="array" ref="K30">GBlackScholes("c",$D$4,$D$5,$D$8,$D$6,$D$6,F30)</f>
        <v>40.041680906260837</v>
      </c>
      <c r="L30" s="4">
        <f t="shared" si="3"/>
        <v>42.000000000000014</v>
      </c>
      <c r="M30" s="9">
        <f t="shared" si="4"/>
        <v>4.8907015125655651E-2</v>
      </c>
      <c r="P30" s="7">
        <f t="shared" si="5"/>
        <v>1.0500000000000003</v>
      </c>
      <c r="Q30" s="6">
        <f t="shared" si="6"/>
        <v>0.29979159546869583</v>
      </c>
      <c r="R30" s="15">
        <f t="shared" si="7"/>
        <v>0.70020840453130417</v>
      </c>
      <c r="S30" s="16">
        <f t="shared" si="8"/>
        <v>40.041680906260837</v>
      </c>
    </row>
    <row r="31" spans="6:19" x14ac:dyDescent="0.25">
      <c r="F31" s="7">
        <f t="shared" si="9"/>
        <v>1.1000000000000003</v>
      </c>
      <c r="G31" s="4" cm="1">
        <f t="array" ref="G31">D_one($D$4,$D$5,$D$8,$D$6,$D$6,F31)</f>
        <v>0.55000000000000016</v>
      </c>
      <c r="H31" s="8">
        <f t="shared" si="0"/>
        <v>0.70884031321165364</v>
      </c>
      <c r="I31" s="2">
        <f t="shared" si="1"/>
        <v>-0.55000000000000016</v>
      </c>
      <c r="J31" s="8">
        <f t="shared" si="2"/>
        <v>0.29115968678834631</v>
      </c>
      <c r="K31" s="4" cm="1">
        <f t="array" ref="K31">GBlackScholes("c",$D$4,$D$5,$D$8,$D$6,$D$6,F31)</f>
        <v>41.768062642330733</v>
      </c>
      <c r="L31" s="4">
        <f t="shared" si="3"/>
        <v>44.000000000000014</v>
      </c>
      <c r="M31" s="9">
        <f t="shared" si="4"/>
        <v>5.3436458779088314E-2</v>
      </c>
      <c r="P31" s="7">
        <f t="shared" si="5"/>
        <v>1.1000000000000003</v>
      </c>
      <c r="Q31" s="6">
        <f t="shared" si="6"/>
        <v>0.29115968678834631</v>
      </c>
      <c r="R31" s="15">
        <f t="shared" si="7"/>
        <v>0.70884031321165364</v>
      </c>
      <c r="S31" s="16">
        <f t="shared" si="8"/>
        <v>41.768062642330733</v>
      </c>
    </row>
    <row r="32" spans="6:19" x14ac:dyDescent="0.25">
      <c r="F32" s="7">
        <f t="shared" si="9"/>
        <v>1.1500000000000004</v>
      </c>
      <c r="G32" s="4" cm="1">
        <f t="array" ref="G32">D_one($D$4,$D$5,$D$8,$D$6,$D$6,F32)</f>
        <v>0.57500000000000018</v>
      </c>
      <c r="H32" s="8">
        <f t="shared" si="0"/>
        <v>0.71735435150279947</v>
      </c>
      <c r="I32" s="2">
        <f t="shared" si="1"/>
        <v>-0.57500000000000018</v>
      </c>
      <c r="J32" s="8">
        <f t="shared" si="2"/>
        <v>0.28264564849720053</v>
      </c>
      <c r="K32" s="4" cm="1">
        <f t="array" ref="K32">GBlackScholes("c",$D$4,$D$5,$D$8,$D$6,$D$6,F32)</f>
        <v>43.470870300559881</v>
      </c>
      <c r="L32" s="4">
        <f t="shared" si="3"/>
        <v>46.000000000000014</v>
      </c>
      <c r="M32" s="9">
        <f t="shared" si="4"/>
        <v>5.8179872681489941E-2</v>
      </c>
      <c r="P32" s="7">
        <f t="shared" si="5"/>
        <v>1.1500000000000004</v>
      </c>
      <c r="Q32" s="6">
        <f t="shared" si="6"/>
        <v>0.28264564849720053</v>
      </c>
      <c r="R32" s="15">
        <f t="shared" si="7"/>
        <v>0.71735435150279947</v>
      </c>
      <c r="S32" s="16">
        <f t="shared" si="8"/>
        <v>43.470870300559881</v>
      </c>
    </row>
    <row r="33" spans="2:19" x14ac:dyDescent="0.25">
      <c r="F33" s="7">
        <f t="shared" si="9"/>
        <v>1.2000000000000004</v>
      </c>
      <c r="G33" s="4" cm="1">
        <f t="array" ref="G33">D_one($D$4,$D$5,$D$8,$D$6,$D$6,F33)</f>
        <v>0.6000000000000002</v>
      </c>
      <c r="H33" s="8">
        <f t="shared" si="0"/>
        <v>0.72574688224992645</v>
      </c>
      <c r="I33" s="2">
        <f t="shared" si="1"/>
        <v>-0.6000000000000002</v>
      </c>
      <c r="J33" s="8">
        <f t="shared" si="2"/>
        <v>0.27425311775007349</v>
      </c>
      <c r="K33" s="4" cm="1">
        <f t="array" ref="K33">GBlackScholes("c",$D$4,$D$5,$D$8,$D$6,$D$6,F33)</f>
        <v>45.149376449985297</v>
      </c>
      <c r="L33" s="4">
        <f t="shared" si="3"/>
        <v>48.000000000000014</v>
      </c>
      <c r="M33" s="9">
        <f t="shared" si="4"/>
        <v>6.3137606189811457E-2</v>
      </c>
      <c r="P33" s="7">
        <f t="shared" si="5"/>
        <v>1.2000000000000004</v>
      </c>
      <c r="Q33" s="6">
        <f t="shared" si="6"/>
        <v>0.27425311775007349</v>
      </c>
      <c r="R33" s="15">
        <f t="shared" si="7"/>
        <v>0.72574688224992645</v>
      </c>
      <c r="S33" s="16">
        <f t="shared" si="8"/>
        <v>45.149376449985297</v>
      </c>
    </row>
    <row r="34" spans="2:19" x14ac:dyDescent="0.25">
      <c r="F34" s="7">
        <f t="shared" si="9"/>
        <v>1.2500000000000004</v>
      </c>
      <c r="G34" s="4" cm="1">
        <f t="array" ref="G34">D_one($D$4,$D$5,$D$8,$D$6,$D$6,F34)</f>
        <v>0.62500000000000022</v>
      </c>
      <c r="H34" s="8">
        <f t="shared" si="0"/>
        <v>0.73401447095129957</v>
      </c>
      <c r="I34" s="2">
        <f t="shared" si="1"/>
        <v>-0.62500000000000022</v>
      </c>
      <c r="J34" s="8">
        <f t="shared" si="2"/>
        <v>0.26598552904870043</v>
      </c>
      <c r="K34" s="4" cm="1">
        <f t="array" ref="K34">GBlackScholes("c",$D$4,$D$5,$D$8,$D$6,$D$6,F34)</f>
        <v>46.802894190259899</v>
      </c>
      <c r="L34" s="4">
        <f t="shared" si="3"/>
        <v>50.000000000000014</v>
      </c>
      <c r="M34" s="9">
        <f t="shared" si="4"/>
        <v>6.8310002299077022E-2</v>
      </c>
      <c r="P34" s="7">
        <f t="shared" si="5"/>
        <v>1.2500000000000004</v>
      </c>
      <c r="Q34" s="6">
        <f t="shared" si="6"/>
        <v>0.26598552904870043</v>
      </c>
      <c r="R34" s="15">
        <f t="shared" si="7"/>
        <v>0.73401447095129957</v>
      </c>
      <c r="S34" s="16">
        <f t="shared" si="8"/>
        <v>46.802894190259899</v>
      </c>
    </row>
    <row r="35" spans="2:19" x14ac:dyDescent="0.25">
      <c r="F35" s="7">
        <f t="shared" si="9"/>
        <v>1.3000000000000005</v>
      </c>
      <c r="G35" s="4" cm="1">
        <f t="array" ref="G35">D_one($D$4,$D$5,$D$8,$D$6,$D$6,F35)</f>
        <v>0.65000000000000024</v>
      </c>
      <c r="H35" s="8">
        <f t="shared" si="0"/>
        <v>0.74215388919413539</v>
      </c>
      <c r="I35" s="2">
        <f t="shared" si="1"/>
        <v>-0.65000000000000024</v>
      </c>
      <c r="J35" s="8">
        <f t="shared" si="2"/>
        <v>0.25784611080586461</v>
      </c>
      <c r="K35" s="4" cm="1">
        <f t="array" ref="K35">GBlackScholes("c",$D$4,$D$5,$D$8,$D$6,$D$6,F35)</f>
        <v>48.430777838827062</v>
      </c>
      <c r="L35" s="4">
        <f t="shared" si="3"/>
        <v>52.000000000000021</v>
      </c>
      <c r="M35" s="9">
        <f t="shared" si="4"/>
        <v>7.3697394930368088E-2</v>
      </c>
      <c r="P35" s="7">
        <f t="shared" si="5"/>
        <v>1.3000000000000005</v>
      </c>
      <c r="Q35" s="6">
        <f t="shared" si="6"/>
        <v>0.25784611080586461</v>
      </c>
      <c r="R35" s="15">
        <f t="shared" si="7"/>
        <v>0.74215388919413539</v>
      </c>
      <c r="S35" s="16">
        <f t="shared" si="8"/>
        <v>48.430777838827062</v>
      </c>
    </row>
    <row r="36" spans="2:19" x14ac:dyDescent="0.25">
      <c r="F36" s="7">
        <f t="shared" si="9"/>
        <v>1.3500000000000005</v>
      </c>
      <c r="G36" s="4" cm="1">
        <f t="array" ref="G36">D_one($D$4,$D$5,$D$8,$D$6,$D$6,F36)</f>
        <v>0.67500000000000027</v>
      </c>
      <c r="H36" s="8">
        <f t="shared" si="0"/>
        <v>0.75016211752822315</v>
      </c>
      <c r="I36" s="2">
        <f t="shared" si="1"/>
        <v>-0.67500000000000027</v>
      </c>
      <c r="J36" s="8">
        <f t="shared" si="2"/>
        <v>0.24983788247177691</v>
      </c>
      <c r="K36" s="4" cm="1">
        <f t="array" ref="K36">GBlackScholes("c",$D$4,$D$5,$D$8,$D$6,$D$6,F36)</f>
        <v>50.032423505644601</v>
      </c>
      <c r="L36" s="4">
        <f t="shared" si="3"/>
        <v>54.000000000000021</v>
      </c>
      <c r="M36" s="9">
        <f t="shared" si="4"/>
        <v>7.9300106138328497E-2</v>
      </c>
      <c r="P36" s="7">
        <f t="shared" si="5"/>
        <v>1.3500000000000005</v>
      </c>
      <c r="Q36" s="6">
        <f t="shared" si="6"/>
        <v>0.24983788247177691</v>
      </c>
      <c r="R36" s="15">
        <f t="shared" si="7"/>
        <v>0.75016211752822315</v>
      </c>
      <c r="S36" s="16">
        <f t="shared" si="8"/>
        <v>50.032423505644601</v>
      </c>
    </row>
    <row r="37" spans="2:19" x14ac:dyDescent="0.25">
      <c r="F37" s="7">
        <f t="shared" si="9"/>
        <v>1.4000000000000006</v>
      </c>
      <c r="G37" s="4" cm="1">
        <f t="array" ref="G37">D_one($D$4,$D$5,$D$8,$D$6,$D$6,F37)</f>
        <v>0.70000000000000029</v>
      </c>
      <c r="H37" s="8">
        <f t="shared" si="0"/>
        <v>0.75803634777692719</v>
      </c>
      <c r="I37" s="2">
        <f t="shared" si="1"/>
        <v>-0.70000000000000029</v>
      </c>
      <c r="J37" s="8">
        <f t="shared" si="2"/>
        <v>0.24196365222307287</v>
      </c>
      <c r="K37" s="4" cm="1">
        <f t="array" ref="K37">GBlackScholes("c",$D$4,$D$5,$D$8,$D$6,$D$6,F37)</f>
        <v>51.607269555385415</v>
      </c>
      <c r="L37" s="4">
        <f t="shared" si="3"/>
        <v>56.000000000000021</v>
      </c>
      <c r="M37" s="9">
        <f t="shared" si="4"/>
        <v>8.5118443243742847E-2</v>
      </c>
      <c r="P37" s="7">
        <f t="shared" si="5"/>
        <v>1.4000000000000006</v>
      </c>
      <c r="Q37" s="6">
        <f t="shared" si="6"/>
        <v>0.24196365222307287</v>
      </c>
      <c r="R37" s="15">
        <f t="shared" si="7"/>
        <v>0.75803634777692719</v>
      </c>
      <c r="S37" s="16">
        <f t="shared" si="8"/>
        <v>51.607269555385415</v>
      </c>
    </row>
    <row r="38" spans="2:19" x14ac:dyDescent="0.25">
      <c r="F38" s="7">
        <f t="shared" si="9"/>
        <v>1.4500000000000006</v>
      </c>
      <c r="G38" s="4" cm="1">
        <f t="array" ref="G38">D_one($D$4,$D$5,$D$8,$D$6,$D$6,F38)</f>
        <v>0.72500000000000031</v>
      </c>
      <c r="H38" s="8">
        <f t="shared" si="0"/>
        <v>0.7657739847873053</v>
      </c>
      <c r="I38" s="2">
        <f t="shared" si="1"/>
        <v>-0.72500000000000031</v>
      </c>
      <c r="J38" s="8">
        <f t="shared" si="2"/>
        <v>0.23422601521269476</v>
      </c>
      <c r="K38" s="4" cm="1">
        <f t="array" ref="K38">GBlackScholes("c",$D$4,$D$5,$D$8,$D$6,$D$6,F38)</f>
        <v>53.154796957461016</v>
      </c>
      <c r="L38" s="4">
        <f t="shared" si="3"/>
        <v>58.000000000000028</v>
      </c>
      <c r="M38" s="9">
        <f t="shared" si="4"/>
        <v>9.1152695897165348E-2</v>
      </c>
      <c r="P38" s="7">
        <f t="shared" si="5"/>
        <v>1.4500000000000006</v>
      </c>
      <c r="Q38" s="6">
        <f t="shared" si="6"/>
        <v>0.23422601521269476</v>
      </c>
      <c r="R38" s="15">
        <f t="shared" si="7"/>
        <v>0.7657739847873053</v>
      </c>
      <c r="S38" s="16">
        <f t="shared" si="8"/>
        <v>53.154796957461016</v>
      </c>
    </row>
    <row r="39" spans="2:19" x14ac:dyDescent="0.25">
      <c r="F39" s="7">
        <f t="shared" si="9"/>
        <v>1.5000000000000007</v>
      </c>
      <c r="G39" s="4" cm="1">
        <f t="array" ref="G39">D_one($D$4,$D$5,$D$8,$D$6,$D$6,F39)</f>
        <v>0.75000000000000022</v>
      </c>
      <c r="H39" s="8">
        <f t="shared" si="0"/>
        <v>0.77337264762313185</v>
      </c>
      <c r="I39" s="2">
        <f t="shared" si="1"/>
        <v>-0.75000000000000044</v>
      </c>
      <c r="J39" s="8">
        <f t="shared" si="2"/>
        <v>0.22662735237686801</v>
      </c>
      <c r="K39" s="4" cm="1">
        <f t="array" ref="K39">GBlackScholes("c",$D$4,$D$5,$D$8,$D$6,$D$6,F39)</f>
        <v>54.674529524626358</v>
      </c>
      <c r="L39" s="4">
        <f t="shared" si="3"/>
        <v>60.000000000000028</v>
      </c>
      <c r="M39" s="9">
        <f t="shared" si="4"/>
        <v>9.7403133080001814E-2</v>
      </c>
      <c r="P39" s="7">
        <f t="shared" si="5"/>
        <v>1.5000000000000007</v>
      </c>
      <c r="Q39" s="6">
        <f t="shared" si="6"/>
        <v>0.22662735237686801</v>
      </c>
      <c r="R39" s="15">
        <f t="shared" si="7"/>
        <v>0.77337264762313185</v>
      </c>
      <c r="S39" s="16">
        <f t="shared" si="8"/>
        <v>54.674529524626358</v>
      </c>
    </row>
    <row r="40" spans="2:19" x14ac:dyDescent="0.25">
      <c r="F40" s="7">
        <f t="shared" si="9"/>
        <v>1.5500000000000007</v>
      </c>
      <c r="G40" s="4" cm="1">
        <f t="array" ref="G40">D_one($D$4,$D$5,$D$8,$D$6,$D$6,F40)</f>
        <v>0.77500000000000036</v>
      </c>
      <c r="H40" s="8">
        <f t="shared" si="0"/>
        <v>0.78083017020662271</v>
      </c>
      <c r="I40" s="2">
        <f t="shared" si="1"/>
        <v>-0.77500000000000036</v>
      </c>
      <c r="J40" s="8">
        <f t="shared" si="2"/>
        <v>0.21916982979337732</v>
      </c>
      <c r="K40" s="4" cm="1">
        <f t="array" ref="K40">GBlackScholes("c",$D$4,$D$5,$D$8,$D$6,$D$6,F40)</f>
        <v>56.166034041324522</v>
      </c>
      <c r="L40" s="4">
        <f t="shared" si="3"/>
        <v>62.000000000000028</v>
      </c>
      <c r="M40" s="9">
        <f t="shared" si="4"/>
        <v>0.10387000004990798</v>
      </c>
      <c r="P40" s="7">
        <f t="shared" si="5"/>
        <v>1.5500000000000007</v>
      </c>
      <c r="Q40" s="6">
        <f t="shared" si="6"/>
        <v>0.21916982979337732</v>
      </c>
      <c r="R40" s="15">
        <f t="shared" si="7"/>
        <v>0.78083017020662271</v>
      </c>
      <c r="S40" s="16">
        <f t="shared" si="8"/>
        <v>56.166034041324522</v>
      </c>
    </row>
    <row r="41" spans="2:19" x14ac:dyDescent="0.25">
      <c r="F41" s="7">
        <f t="shared" si="9"/>
        <v>1.6000000000000008</v>
      </c>
      <c r="G41" s="4" cm="1">
        <f t="array" ref="G41">D_one($D$4,$D$5,$D$8,$D$6,$D$6,F41)</f>
        <v>0.80000000000000038</v>
      </c>
      <c r="H41" s="8">
        <f t="shared" si="0"/>
        <v>0.78814460141660347</v>
      </c>
      <c r="I41" s="2">
        <f t="shared" si="1"/>
        <v>-0.80000000000000038</v>
      </c>
      <c r="J41" s="8">
        <f t="shared" si="2"/>
        <v>0.21185539858339655</v>
      </c>
      <c r="K41" s="4" cm="1">
        <f t="array" ref="K41">GBlackScholes("c",$D$4,$D$5,$D$8,$D$6,$D$6,F41)</f>
        <v>57.628920283320674</v>
      </c>
      <c r="L41" s="4">
        <f t="shared" si="3"/>
        <v>64.000000000000028</v>
      </c>
      <c r="M41" s="9">
        <f t="shared" si="4"/>
        <v>0.11055351523778789</v>
      </c>
      <c r="P41" s="7">
        <f t="shared" si="5"/>
        <v>1.6000000000000008</v>
      </c>
      <c r="Q41" s="6">
        <f t="shared" si="6"/>
        <v>0.21185539858339655</v>
      </c>
      <c r="R41" s="15">
        <f t="shared" si="7"/>
        <v>0.78814460141660347</v>
      </c>
      <c r="S41" s="16">
        <f t="shared" si="8"/>
        <v>57.628920283320674</v>
      </c>
    </row>
    <row r="42" spans="2:19" x14ac:dyDescent="0.25">
      <c r="F42" s="7">
        <f t="shared" si="9"/>
        <v>1.6500000000000008</v>
      </c>
      <c r="G42" s="4" cm="1">
        <f t="array" ref="G42">D_one($D$4,$D$5,$D$8,$D$6,$D$6,F42)</f>
        <v>0.8250000000000004</v>
      </c>
      <c r="H42" s="8">
        <f t="shared" si="0"/>
        <v>0.79531420465274749</v>
      </c>
      <c r="I42" s="2">
        <f t="shared" si="1"/>
        <v>-0.8250000000000004</v>
      </c>
      <c r="J42" s="8">
        <f t="shared" si="2"/>
        <v>0.20468579534725251</v>
      </c>
      <c r="K42" s="4" cm="1">
        <f t="array" ref="K42">GBlackScholes("c",$D$4,$D$5,$D$8,$D$6,$D$6,F42)</f>
        <v>59.062840930549498</v>
      </c>
      <c r="L42" s="4">
        <f t="shared" si="3"/>
        <v>66.000000000000028</v>
      </c>
      <c r="M42" s="9">
        <f t="shared" si="4"/>
        <v>0.11745386710415362</v>
      </c>
      <c r="P42" s="7">
        <f t="shared" si="5"/>
        <v>1.6500000000000008</v>
      </c>
      <c r="Q42" s="6">
        <f t="shared" si="6"/>
        <v>0.20468579534725251</v>
      </c>
      <c r="R42" s="15">
        <f t="shared" si="7"/>
        <v>0.79531420465274749</v>
      </c>
      <c r="S42" s="16">
        <f t="shared" si="8"/>
        <v>59.062840930549498</v>
      </c>
    </row>
    <row r="43" spans="2:19" x14ac:dyDescent="0.25">
      <c r="F43" s="7">
        <f t="shared" si="9"/>
        <v>1.7000000000000008</v>
      </c>
      <c r="G43" s="4" cm="1">
        <f t="array" ref="G43">D_one($D$4,$D$5,$D$8,$D$6,$D$6,F43)</f>
        <v>0.85000000000000042</v>
      </c>
      <c r="H43" s="8">
        <f t="shared" si="0"/>
        <v>0.80233745687730784</v>
      </c>
      <c r="I43" s="2">
        <f t="shared" si="1"/>
        <v>-0.85000000000000042</v>
      </c>
      <c r="J43" s="8">
        <f t="shared" si="2"/>
        <v>0.19766254312269221</v>
      </c>
      <c r="K43" s="4" cm="1">
        <f t="array" ref="K43">GBlackScholes("c",$D$4,$D$5,$D$8,$D$6,$D$6,F43)</f>
        <v>60.467491375461542</v>
      </c>
      <c r="L43" s="4">
        <f t="shared" si="3"/>
        <v>68.000000000000028</v>
      </c>
      <c r="M43" s="9">
        <f t="shared" si="4"/>
        <v>0.12457121096304102</v>
      </c>
      <c r="P43" s="7">
        <f t="shared" si="5"/>
        <v>1.7000000000000008</v>
      </c>
      <c r="Q43" s="6">
        <f t="shared" si="6"/>
        <v>0.19766254312269221</v>
      </c>
      <c r="R43" s="15">
        <f t="shared" si="7"/>
        <v>0.80233745687730784</v>
      </c>
      <c r="S43" s="16">
        <f t="shared" si="8"/>
        <v>60.467491375461542</v>
      </c>
    </row>
    <row r="44" spans="2:19" x14ac:dyDescent="0.25">
      <c r="F44" s="7">
        <f t="shared" si="9"/>
        <v>1.7500000000000009</v>
      </c>
      <c r="G44" s="4" cm="1">
        <f t="array" ref="G44">D_one($D$4,$D$5,$D$8,$D$6,$D$6,F44)</f>
        <v>0.87500000000000044</v>
      </c>
      <c r="H44" s="8">
        <f t="shared" si="0"/>
        <v>0.80921304714748954</v>
      </c>
      <c r="I44" s="2">
        <f t="shared" si="1"/>
        <v>-0.87500000000000044</v>
      </c>
      <c r="J44" s="8">
        <f t="shared" si="2"/>
        <v>0.19078695285251049</v>
      </c>
      <c r="K44" s="4" cm="1">
        <f t="array" ref="K44">GBlackScholes("c",$D$4,$D$5,$D$8,$D$6,$D$6,F44)</f>
        <v>61.842609429497891</v>
      </c>
      <c r="L44" s="4">
        <f t="shared" si="3"/>
        <v>70.000000000000028</v>
      </c>
      <c r="M44" s="9">
        <f t="shared" si="4"/>
        <v>0.13190566578212981</v>
      </c>
      <c r="P44" s="7">
        <f t="shared" si="5"/>
        <v>1.7500000000000009</v>
      </c>
      <c r="Q44" s="6">
        <f t="shared" si="6"/>
        <v>0.19078695285251049</v>
      </c>
      <c r="R44" s="15">
        <f t="shared" si="7"/>
        <v>0.80921304714748954</v>
      </c>
      <c r="S44" s="16">
        <f t="shared" si="8"/>
        <v>61.842609429497891</v>
      </c>
    </row>
    <row r="45" spans="2:19" x14ac:dyDescent="0.25">
      <c r="F45" s="7">
        <f t="shared" si="9"/>
        <v>1.8000000000000009</v>
      </c>
      <c r="G45" s="4" cm="1">
        <f t="array" ref="G45">D_one($D$4,$D$5,$D$8,$D$6,$D$6,F45)</f>
        <v>0.90000000000000047</v>
      </c>
      <c r="H45" s="8">
        <f t="shared" si="0"/>
        <v>0.81593987465324069</v>
      </c>
      <c r="I45" s="2">
        <f t="shared" si="1"/>
        <v>-0.90000000000000047</v>
      </c>
      <c r="J45" s="8">
        <f t="shared" si="2"/>
        <v>0.18406012534675936</v>
      </c>
      <c r="K45" s="4" cm="1">
        <f t="array" ref="K45">GBlackScholes("c",$D$4,$D$5,$D$8,$D$6,$D$6,F45)</f>
        <v>63.187974930648117</v>
      </c>
      <c r="L45" s="4">
        <f t="shared" si="3"/>
        <v>72.000000000000043</v>
      </c>
      <c r="M45" s="9">
        <f t="shared" si="4"/>
        <v>0.13945731096816361</v>
      </c>
      <c r="P45" s="7">
        <f t="shared" si="5"/>
        <v>1.8000000000000009</v>
      </c>
      <c r="Q45" s="6">
        <f t="shared" si="6"/>
        <v>0.18406012534675936</v>
      </c>
      <c r="R45" s="15">
        <f t="shared" si="7"/>
        <v>0.81593987465324069</v>
      </c>
      <c r="S45" s="16">
        <f t="shared" si="8"/>
        <v>63.187974930648117</v>
      </c>
    </row>
    <row r="46" spans="2:19" x14ac:dyDescent="0.25">
      <c r="F46" s="7">
        <f t="shared" si="9"/>
        <v>1.850000000000001</v>
      </c>
      <c r="G46" s="4" cm="1">
        <f t="array" ref="G46">D_one($D$4,$D$5,$D$8,$D$6,$D$6,F46)</f>
        <v>0.92500000000000049</v>
      </c>
      <c r="H46" s="8">
        <f t="shared" si="0"/>
        <v>0.82251704627676792</v>
      </c>
      <c r="I46" s="2">
        <f t="shared" si="1"/>
        <v>-0.92500000000000049</v>
      </c>
      <c r="J46" s="8">
        <f t="shared" si="2"/>
        <v>0.17748295372323214</v>
      </c>
      <c r="K46" s="4" cm="1">
        <f t="array" ref="K46">GBlackScholes("c",$D$4,$D$5,$D$8,$D$6,$D$6,F46)</f>
        <v>64.50340925535356</v>
      </c>
      <c r="L46" s="4">
        <f t="shared" si="3"/>
        <v>74.000000000000043</v>
      </c>
      <c r="M46" s="9">
        <f t="shared" si="4"/>
        <v>0.14722618314718461</v>
      </c>
      <c r="P46" s="7">
        <f t="shared" si="5"/>
        <v>1.850000000000001</v>
      </c>
      <c r="Q46" s="6">
        <f t="shared" si="6"/>
        <v>0.17748295372323214</v>
      </c>
      <c r="R46" s="15">
        <f t="shared" si="7"/>
        <v>0.82251704627676792</v>
      </c>
      <c r="S46" s="16">
        <f t="shared" si="8"/>
        <v>64.50340925535356</v>
      </c>
    </row>
    <row r="47" spans="2:19" x14ac:dyDescent="0.25">
      <c r="B47" s="2">
        <f>0.05/9.9</f>
        <v>5.0505050505050509E-3</v>
      </c>
      <c r="F47" s="7">
        <f t="shared" si="9"/>
        <v>1.900000000000001</v>
      </c>
      <c r="G47" s="4" cm="1">
        <f t="array" ref="G47">D_one($D$4,$D$5,$D$8,$D$6,$D$6,F47)</f>
        <v>0.95000000000000051</v>
      </c>
      <c r="H47" s="8">
        <f t="shared" si="0"/>
        <v>0.82894387369151834</v>
      </c>
      <c r="I47" s="2">
        <f t="shared" si="1"/>
        <v>-0.95000000000000051</v>
      </c>
      <c r="J47" s="8">
        <f t="shared" si="2"/>
        <v>0.17105612630848166</v>
      </c>
      <c r="K47" s="4" cm="1">
        <f t="array" ref="K47">GBlackScholes("c",$D$4,$D$5,$D$8,$D$6,$D$6,F47)</f>
        <v>65.788774738303658</v>
      </c>
      <c r="L47" s="4">
        <f t="shared" si="3"/>
        <v>76.000000000000043</v>
      </c>
      <c r="M47" s="9">
        <f t="shared" si="4"/>
        <v>0.15521227294952467</v>
      </c>
      <c r="P47" s="7">
        <f t="shared" si="5"/>
        <v>1.900000000000001</v>
      </c>
      <c r="Q47" s="6">
        <f t="shared" si="6"/>
        <v>0.17105612630848166</v>
      </c>
      <c r="R47" s="15">
        <f t="shared" si="7"/>
        <v>0.82894387369151834</v>
      </c>
      <c r="S47" s="16">
        <f t="shared" si="8"/>
        <v>65.788774738303658</v>
      </c>
    </row>
    <row r="48" spans="2:19" x14ac:dyDescent="0.25">
      <c r="F48" s="7">
        <f t="shared" si="9"/>
        <v>1.9500000000000011</v>
      </c>
      <c r="G48" s="4" cm="1">
        <f t="array" ref="G48">D_one($D$4,$D$5,$D$8,$D$6,$D$6,F48)</f>
        <v>0.97500000000000053</v>
      </c>
      <c r="H48" s="8">
        <f t="shared" si="0"/>
        <v>0.83521987001968978</v>
      </c>
      <c r="I48" s="2">
        <f t="shared" si="1"/>
        <v>-0.97500000000000053</v>
      </c>
      <c r="J48" s="8">
        <f t="shared" si="2"/>
        <v>0.16478012998031025</v>
      </c>
      <c r="K48" s="4" cm="1">
        <f t="array" ref="K48">GBlackScholes("c",$D$4,$D$5,$D$8,$D$6,$D$6,F48)</f>
        <v>67.043974003937961</v>
      </c>
      <c r="L48" s="4">
        <f t="shared" si="3"/>
        <v>78.000000000000043</v>
      </c>
      <c r="M48" s="9">
        <f t="shared" si="4"/>
        <v>0.16341552180988783</v>
      </c>
      <c r="P48" s="7">
        <f t="shared" si="5"/>
        <v>1.9500000000000011</v>
      </c>
      <c r="Q48" s="6">
        <f t="shared" si="6"/>
        <v>0.16478012998031025</v>
      </c>
      <c r="R48" s="15">
        <f t="shared" si="7"/>
        <v>0.83521987001968978</v>
      </c>
      <c r="S48" s="16">
        <f t="shared" si="8"/>
        <v>67.043974003937961</v>
      </c>
    </row>
    <row r="49" spans="6:19" x14ac:dyDescent="0.25">
      <c r="F49" s="7">
        <f t="shared" si="9"/>
        <v>2.0000000000000009</v>
      </c>
      <c r="G49" s="4" cm="1">
        <f t="array" ref="G49">D_one($D$4,$D$5,$D$8,$D$6,$D$6,F49)</f>
        <v>1.0000000000000004</v>
      </c>
      <c r="H49" s="8">
        <f t="shared" si="0"/>
        <v>0.84134474606854304</v>
      </c>
      <c r="I49" s="2">
        <f t="shared" si="1"/>
        <v>-1.0000000000000004</v>
      </c>
      <c r="J49" s="8">
        <f t="shared" si="2"/>
        <v>0.15865525393145691</v>
      </c>
      <c r="K49" s="4" cm="1">
        <f t="array" ref="K49">GBlackScholes("c",$D$4,$D$5,$D$8,$D$6,$D$6,F49)</f>
        <v>68.268949213708609</v>
      </c>
      <c r="L49" s="4">
        <f t="shared" si="3"/>
        <v>80.000000000000028</v>
      </c>
      <c r="M49" s="9">
        <f t="shared" si="4"/>
        <v>0.1718358187932354</v>
      </c>
      <c r="P49" s="7">
        <f t="shared" si="5"/>
        <v>2.0000000000000009</v>
      </c>
      <c r="Q49" s="6">
        <f t="shared" si="6"/>
        <v>0.15865525393145691</v>
      </c>
      <c r="R49" s="15">
        <f t="shared" si="7"/>
        <v>0.84134474606854304</v>
      </c>
      <c r="S49" s="16">
        <f t="shared" si="8"/>
        <v>68.268949213708609</v>
      </c>
    </row>
    <row r="50" spans="6:19" x14ac:dyDescent="0.25">
      <c r="F50" s="7">
        <f t="shared" si="9"/>
        <v>2.0500000000000007</v>
      </c>
      <c r="G50" s="4" cm="1">
        <f t="array" ref="G50">D_one($D$4,$D$5,$D$8,$D$6,$D$6,F50)</f>
        <v>1.0250000000000004</v>
      </c>
      <c r="H50" s="8">
        <f t="shared" si="0"/>
        <v>0.84731840616688969</v>
      </c>
      <c r="I50" s="2">
        <f t="shared" si="1"/>
        <v>-1.0250000000000004</v>
      </c>
      <c r="J50" s="8">
        <f t="shared" si="2"/>
        <v>0.15268159383311028</v>
      </c>
      <c r="K50" s="4" cm="1">
        <f t="array" ref="K50">GBlackScholes("c",$D$4,$D$5,$D$8,$D$6,$D$6,F50)</f>
        <v>69.46368123337794</v>
      </c>
      <c r="L50" s="4">
        <f t="shared" si="3"/>
        <v>82.000000000000028</v>
      </c>
      <c r="M50" s="9">
        <f t="shared" si="4"/>
        <v>0.18047299745752987</v>
      </c>
      <c r="P50" s="7">
        <f t="shared" si="5"/>
        <v>2.0500000000000007</v>
      </c>
      <c r="Q50" s="6">
        <f t="shared" si="6"/>
        <v>0.15268159383311028</v>
      </c>
      <c r="R50" s="15">
        <f t="shared" si="7"/>
        <v>0.84731840616688969</v>
      </c>
      <c r="S50" s="16">
        <f t="shared" si="8"/>
        <v>69.46368123337794</v>
      </c>
    </row>
    <row r="51" spans="6:19" x14ac:dyDescent="0.25">
      <c r="F51" s="7">
        <f t="shared" si="9"/>
        <v>2.1000000000000005</v>
      </c>
      <c r="G51" s="4" cm="1">
        <f t="array" ref="G51">D_one($D$4,$D$5,$D$8,$D$6,$D$6,F51)</f>
        <v>1.0500000000000003</v>
      </c>
      <c r="H51" s="8">
        <f t="shared" si="0"/>
        <v>0.85314094362410409</v>
      </c>
      <c r="I51" s="2">
        <f t="shared" ref="I51:I67" si="10">G51-(F51*SQRT($D$8))</f>
        <v>-1.0500000000000003</v>
      </c>
      <c r="J51" s="8">
        <f t="shared" si="2"/>
        <v>0.14685905637589591</v>
      </c>
      <c r="K51" s="4" cm="1">
        <f t="array" ref="K51">GBlackScholes("c",$D$4,$D$5,$D$8,$D$6,$D$6,F51)</f>
        <v>70.628188724820816</v>
      </c>
      <c r="L51" s="4">
        <f t="shared" si="3"/>
        <v>84.000000000000028</v>
      </c>
      <c r="M51" s="9">
        <f t="shared" si="4"/>
        <v>0.18932683276471973</v>
      </c>
      <c r="P51" s="7">
        <f t="shared" si="5"/>
        <v>2.1000000000000005</v>
      </c>
      <c r="Q51" s="6">
        <f t="shared" si="6"/>
        <v>0.14685905637589591</v>
      </c>
      <c r="R51" s="15">
        <f t="shared" si="7"/>
        <v>0.85314094362410409</v>
      </c>
      <c r="S51" s="16">
        <f t="shared" si="8"/>
        <v>70.628188724820816</v>
      </c>
    </row>
    <row r="52" spans="6:19" x14ac:dyDescent="0.25">
      <c r="F52" s="7">
        <f t="shared" si="9"/>
        <v>2.1500000000000004</v>
      </c>
      <c r="G52" s="4" cm="1">
        <f t="array" ref="G52">D_one($D$4,$D$5,$D$8,$D$6,$D$6,F52)</f>
        <v>1.0750000000000002</v>
      </c>
      <c r="H52" s="8">
        <f t="shared" si="0"/>
        <v>0.85881263583487111</v>
      </c>
      <c r="I52" s="2">
        <f t="shared" si="10"/>
        <v>-1.0750000000000002</v>
      </c>
      <c r="J52" s="8">
        <f t="shared" si="2"/>
        <v>0.14118736416512892</v>
      </c>
      <c r="K52" s="4" cm="1">
        <f t="array" ref="K52">GBlackScholes("c",$D$4,$D$5,$D$8,$D$6,$D$6,F52)</f>
        <v>71.762527166974223</v>
      </c>
      <c r="L52" s="4">
        <f t="shared" si="3"/>
        <v>86.000000000000014</v>
      </c>
      <c r="M52" s="9">
        <f t="shared" si="4"/>
        <v>0.19839703805160869</v>
      </c>
      <c r="P52" s="7">
        <f t="shared" si="5"/>
        <v>2.1500000000000004</v>
      </c>
      <c r="Q52" s="6">
        <f t="shared" si="6"/>
        <v>0.14118736416512892</v>
      </c>
      <c r="R52" s="15">
        <f t="shared" si="7"/>
        <v>0.85881263583487111</v>
      </c>
      <c r="S52" s="16">
        <f t="shared" si="8"/>
        <v>71.762527166974223</v>
      </c>
    </row>
    <row r="53" spans="6:19" x14ac:dyDescent="0.25">
      <c r="F53" s="7">
        <f t="shared" si="9"/>
        <v>2.2000000000000002</v>
      </c>
      <c r="G53" s="4" cm="1">
        <f t="array" ref="G53">D_one($D$4,$D$5,$D$8,$D$6,$D$6,F53)</f>
        <v>1.1000000000000001</v>
      </c>
      <c r="H53" s="8">
        <f t="shared" si="0"/>
        <v>0.86433393905361733</v>
      </c>
      <c r="I53" s="2">
        <f t="shared" si="10"/>
        <v>-1.1000000000000001</v>
      </c>
      <c r="J53" s="8">
        <f t="shared" si="2"/>
        <v>0.13566606094638264</v>
      </c>
      <c r="K53" s="4" cm="1">
        <f t="array" ref="K53">GBlackScholes("c",$D$4,$D$5,$D$8,$D$6,$D$6,F53)</f>
        <v>72.866787810723466</v>
      </c>
      <c r="L53" s="4">
        <f t="shared" si="3"/>
        <v>88</v>
      </c>
      <c r="M53" s="9">
        <f t="shared" si="4"/>
        <v>0.20768326207251109</v>
      </c>
      <c r="P53" s="7">
        <f t="shared" si="5"/>
        <v>2.2000000000000002</v>
      </c>
      <c r="Q53" s="6">
        <f t="shared" si="6"/>
        <v>0.13566606094638264</v>
      </c>
      <c r="R53" s="15">
        <f t="shared" si="7"/>
        <v>0.86433393905361733</v>
      </c>
      <c r="S53" s="16">
        <f t="shared" si="8"/>
        <v>72.866787810723466</v>
      </c>
    </row>
    <row r="54" spans="6:19" x14ac:dyDescent="0.25">
      <c r="F54" s="7">
        <f t="shared" si="9"/>
        <v>2.25</v>
      </c>
      <c r="G54" s="4" cm="1">
        <f t="array" ref="G54">D_one($D$4,$D$5,$D$8,$D$6,$D$6,F54)</f>
        <v>1.125</v>
      </c>
      <c r="H54" s="8">
        <f t="shared" si="0"/>
        <v>0.86970548286319116</v>
      </c>
      <c r="I54" s="2">
        <f t="shared" si="10"/>
        <v>-1.125</v>
      </c>
      <c r="J54" s="8">
        <f t="shared" si="2"/>
        <v>0.13029451713680881</v>
      </c>
      <c r="K54" s="4" cm="1">
        <f t="array" ref="K54">GBlackScholes("c",$D$4,$D$5,$D$8,$D$6,$D$6,F54)</f>
        <v>73.94109657263823</v>
      </c>
      <c r="L54" s="4">
        <f t="shared" si="3"/>
        <v>90</v>
      </c>
      <c r="M54" s="9">
        <f t="shared" si="4"/>
        <v>0.21718508612576271</v>
      </c>
      <c r="P54" s="7">
        <f t="shared" si="5"/>
        <v>2.25</v>
      </c>
      <c r="Q54" s="6">
        <f t="shared" si="6"/>
        <v>0.13029451713680881</v>
      </c>
      <c r="R54" s="15">
        <f t="shared" si="7"/>
        <v>0.86970548286319116</v>
      </c>
      <c r="S54" s="16">
        <f t="shared" si="8"/>
        <v>73.94109657263823</v>
      </c>
    </row>
    <row r="55" spans="6:19" x14ac:dyDescent="0.25">
      <c r="F55" s="7">
        <f t="shared" si="9"/>
        <v>2.2999999999999998</v>
      </c>
      <c r="G55" s="4" cm="1">
        <f t="array" ref="G55">D_one($D$4,$D$5,$D$8,$D$6,$D$6,F55)</f>
        <v>1.1499999999999999</v>
      </c>
      <c r="H55" s="8">
        <f t="shared" si="0"/>
        <v>0.87492806436284976</v>
      </c>
      <c r="I55" s="2">
        <f t="shared" si="10"/>
        <v>-1.1499999999999999</v>
      </c>
      <c r="J55" s="8">
        <f t="shared" si="2"/>
        <v>0.12507193563715024</v>
      </c>
      <c r="K55" s="4" cm="1">
        <f t="array" ref="K55">GBlackScholes("c",$D$4,$D$5,$D$8,$D$6,$D$6,F55)</f>
        <v>74.985612872569945</v>
      </c>
      <c r="L55" s="4">
        <f t="shared" si="3"/>
        <v>92</v>
      </c>
      <c r="M55" s="9">
        <f t="shared" si="4"/>
        <v>0.22690202127632397</v>
      </c>
      <c r="P55" s="7">
        <f t="shared" si="5"/>
        <v>2.2999999999999998</v>
      </c>
      <c r="Q55" s="6">
        <f t="shared" si="6"/>
        <v>0.12507193563715024</v>
      </c>
      <c r="R55" s="15">
        <f t="shared" si="7"/>
        <v>0.87492806436284976</v>
      </c>
      <c r="S55" s="16">
        <f t="shared" si="8"/>
        <v>74.985612872569945</v>
      </c>
    </row>
    <row r="56" spans="6:19" x14ac:dyDescent="0.25">
      <c r="F56" s="7">
        <f t="shared" si="9"/>
        <v>2.3499999999999996</v>
      </c>
      <c r="G56" s="4" cm="1">
        <f t="array" ref="G56">D_one($D$4,$D$5,$D$8,$D$6,$D$6,F56)</f>
        <v>1.1749999999999998</v>
      </c>
      <c r="H56" s="8">
        <f t="shared" si="0"/>
        <v>0.88000264210098744</v>
      </c>
      <c r="I56" s="2">
        <f t="shared" si="10"/>
        <v>-1.1749999999999998</v>
      </c>
      <c r="J56" s="8">
        <f t="shared" si="2"/>
        <v>0.1199973578990125</v>
      </c>
      <c r="K56" s="4" cm="1">
        <f t="array" ref="K56">GBlackScholes("c",$D$4,$D$5,$D$8,$D$6,$D$6,F56)</f>
        <v>76.000528420197483</v>
      </c>
      <c r="L56" s="4">
        <f t="shared" si="3"/>
        <v>93.999999999999986</v>
      </c>
      <c r="M56" s="9">
        <f t="shared" si="4"/>
        <v>0.23683350568677186</v>
      </c>
      <c r="P56" s="7">
        <f t="shared" si="5"/>
        <v>2.3499999999999996</v>
      </c>
      <c r="Q56" s="6">
        <f t="shared" si="6"/>
        <v>0.1199973578990125</v>
      </c>
      <c r="R56" s="15">
        <f t="shared" si="7"/>
        <v>0.88000264210098744</v>
      </c>
      <c r="S56" s="16">
        <f t="shared" si="8"/>
        <v>76.000528420197483</v>
      </c>
    </row>
    <row r="57" spans="6:19" x14ac:dyDescent="0.25">
      <c r="F57" s="7">
        <f t="shared" si="9"/>
        <v>2.3999999999999995</v>
      </c>
      <c r="G57" s="4" cm="1">
        <f t="array" ref="G57">D_one($D$4,$D$5,$D$8,$D$6,$D$6,F57)</f>
        <v>1.1999999999999997</v>
      </c>
      <c r="H57" s="8">
        <f t="shared" si="0"/>
        <v>0.88493032977829167</v>
      </c>
      <c r="I57" s="2">
        <f t="shared" si="10"/>
        <v>-1.1999999999999997</v>
      </c>
      <c r="J57" s="8">
        <f t="shared" si="2"/>
        <v>0.1150696702217083</v>
      </c>
      <c r="K57" s="4" cm="1">
        <f t="array" ref="K57">GBlackScholes("c",$D$4,$D$5,$D$8,$D$6,$D$6,F57)</f>
        <v>76.986065955658333</v>
      </c>
      <c r="L57" s="4">
        <f t="shared" si="3"/>
        <v>95.999999999999972</v>
      </c>
      <c r="M57" s="9">
        <f t="shared" si="4"/>
        <v>0.24697890206901985</v>
      </c>
      <c r="P57" s="7">
        <f t="shared" si="5"/>
        <v>2.3999999999999995</v>
      </c>
      <c r="Q57" s="6">
        <f t="shared" si="6"/>
        <v>0.1150696702217083</v>
      </c>
      <c r="R57" s="15">
        <f t="shared" si="7"/>
        <v>0.88493032977829167</v>
      </c>
      <c r="S57" s="16">
        <f t="shared" si="8"/>
        <v>76.986065955658333</v>
      </c>
    </row>
    <row r="58" spans="6:19" x14ac:dyDescent="0.25">
      <c r="F58" s="7">
        <f t="shared" si="9"/>
        <v>2.4499999999999993</v>
      </c>
      <c r="G58" s="4" cm="1">
        <f t="array" ref="G58">D_one($D$4,$D$5,$D$8,$D$6,$D$6,F58)</f>
        <v>1.2249999999999996</v>
      </c>
      <c r="H58" s="8">
        <f t="shared" si="0"/>
        <v>0.88971238974714872</v>
      </c>
      <c r="I58" s="2">
        <f t="shared" si="10"/>
        <v>-1.2249999999999996</v>
      </c>
      <c r="J58" s="8">
        <f t="shared" si="2"/>
        <v>0.11028761025285129</v>
      </c>
      <c r="K58" s="4" cm="1">
        <f t="array" ref="K58">GBlackScholes("c",$D$4,$D$5,$D$8,$D$6,$D$6,F58)</f>
        <v>77.942477949429744</v>
      </c>
      <c r="L58" s="4">
        <f t="shared" si="3"/>
        <v>97.999999999999972</v>
      </c>
      <c r="M58" s="9">
        <f t="shared" si="4"/>
        <v>0.25733749526906058</v>
      </c>
      <c r="P58" s="7">
        <f t="shared" si="5"/>
        <v>2.4499999999999993</v>
      </c>
      <c r="Q58" s="6">
        <f t="shared" si="6"/>
        <v>0.11028761025285129</v>
      </c>
      <c r="R58" s="15">
        <f t="shared" si="7"/>
        <v>0.88971238974714872</v>
      </c>
      <c r="S58" s="16">
        <f t="shared" si="8"/>
        <v>77.942477949429744</v>
      </c>
    </row>
    <row r="59" spans="6:19" x14ac:dyDescent="0.25">
      <c r="F59" s="7">
        <f t="shared" si="9"/>
        <v>2.4999999999999991</v>
      </c>
      <c r="G59" s="4" cm="1">
        <f t="array" ref="G59">D_one($D$4,$D$5,$D$8,$D$6,$D$6,F59)</f>
        <v>1.2499999999999996</v>
      </c>
      <c r="H59" s="8">
        <f t="shared" si="0"/>
        <v>0.89435022633314465</v>
      </c>
      <c r="I59" s="2">
        <f t="shared" si="10"/>
        <v>-1.2499999999999996</v>
      </c>
      <c r="J59" s="8">
        <f t="shared" si="2"/>
        <v>0.10564977366685532</v>
      </c>
      <c r="K59" s="4" cm="1">
        <f t="array" ref="K59">GBlackScholes("c",$D$4,$D$5,$D$8,$D$6,$D$6,F59)</f>
        <v>78.870045266628935</v>
      </c>
      <c r="L59" s="4">
        <f t="shared" si="3"/>
        <v>99.999999999999972</v>
      </c>
      <c r="M59" s="9">
        <f t="shared" si="4"/>
        <v>0.26790848999691685</v>
      </c>
      <c r="P59" s="7">
        <f t="shared" si="5"/>
        <v>2.4999999999999991</v>
      </c>
      <c r="Q59" s="6">
        <f t="shared" si="6"/>
        <v>0.10564977366685532</v>
      </c>
      <c r="R59" s="15">
        <f t="shared" si="7"/>
        <v>0.89435022633314465</v>
      </c>
      <c r="S59" s="16">
        <f t="shared" si="8"/>
        <v>78.870045266628935</v>
      </c>
    </row>
    <row r="60" spans="6:19" x14ac:dyDescent="0.25">
      <c r="F60" s="7">
        <f t="shared" si="9"/>
        <v>2.5499999999999989</v>
      </c>
      <c r="G60" s="4" cm="1">
        <f t="array" ref="G60">D_one($D$4,$D$5,$D$8,$D$6,$D$6,F60)</f>
        <v>1.2749999999999995</v>
      </c>
      <c r="H60" s="8">
        <f t="shared" si="0"/>
        <v>0.89884537900441408</v>
      </c>
      <c r="I60" s="2">
        <f t="shared" si="10"/>
        <v>-1.2749999999999995</v>
      </c>
      <c r="J60" s="8">
        <f t="shared" si="2"/>
        <v>0.10115462099558593</v>
      </c>
      <c r="K60" s="4" cm="1">
        <f t="array" ref="K60">GBlackScholes("c",$D$4,$D$5,$D$8,$D$6,$D$6,F60)</f>
        <v>79.769075800882803</v>
      </c>
      <c r="L60" s="4">
        <f t="shared" si="3"/>
        <v>101.99999999999996</v>
      </c>
      <c r="M60" s="9">
        <f t="shared" si="4"/>
        <v>0.27869100871381947</v>
      </c>
      <c r="P60" s="7">
        <f t="shared" si="5"/>
        <v>2.5499999999999989</v>
      </c>
      <c r="Q60" s="6">
        <f t="shared" si="6"/>
        <v>0.10115462099558593</v>
      </c>
      <c r="R60" s="15">
        <f t="shared" si="7"/>
        <v>0.89884537900441408</v>
      </c>
      <c r="S60" s="16">
        <f t="shared" si="8"/>
        <v>79.769075800882803</v>
      </c>
    </row>
    <row r="61" spans="6:19" x14ac:dyDescent="0.25">
      <c r="F61" s="7">
        <f t="shared" si="9"/>
        <v>2.5999999999999988</v>
      </c>
      <c r="G61" s="4" cm="1">
        <f t="array" ref="G61">D_one($D$4,$D$5,$D$8,$D$6,$D$6,F61)</f>
        <v>1.2999999999999994</v>
      </c>
      <c r="H61" s="8">
        <f t="shared" si="0"/>
        <v>0.90319951541438959</v>
      </c>
      <c r="I61" s="2">
        <f t="shared" si="10"/>
        <v>-1.2999999999999994</v>
      </c>
      <c r="J61" s="8">
        <f t="shared" si="2"/>
        <v>9.6800484585610427E-2</v>
      </c>
      <c r="K61" s="4" cm="1">
        <f t="array" ref="K61">GBlackScholes("c",$D$4,$D$5,$D$8,$D$6,$D$6,F61)</f>
        <v>80.639903082877908</v>
      </c>
      <c r="L61" s="4">
        <f t="shared" si="3"/>
        <v>103.99999999999994</v>
      </c>
      <c r="M61" s="9">
        <f t="shared" si="4"/>
        <v>0.28968408968837212</v>
      </c>
      <c r="P61" s="7">
        <f t="shared" si="5"/>
        <v>2.5999999999999988</v>
      </c>
      <c r="Q61" s="6">
        <f t="shared" si="6"/>
        <v>9.6800484585610427E-2</v>
      </c>
      <c r="R61" s="15">
        <f t="shared" si="7"/>
        <v>0.90319951541438959</v>
      </c>
      <c r="S61" s="16">
        <f t="shared" si="8"/>
        <v>80.639903082877908</v>
      </c>
    </row>
    <row r="62" spans="6:19" x14ac:dyDescent="0.25">
      <c r="F62" s="7">
        <f t="shared" si="9"/>
        <v>2.6499999999999986</v>
      </c>
      <c r="G62" s="4" cm="1">
        <f t="array" ref="G62">D_one($D$4,$D$5,$D$8,$D$6,$D$6,F62)</f>
        <v>1.3249999999999993</v>
      </c>
      <c r="H62" s="8">
        <f t="shared" si="0"/>
        <v>0.90741442434320496</v>
      </c>
      <c r="I62" s="2">
        <f t="shared" si="10"/>
        <v>-1.3249999999999993</v>
      </c>
      <c r="J62" s="8">
        <f t="shared" si="2"/>
        <v>9.2585575656795011E-2</v>
      </c>
      <c r="K62" s="4" cm="1">
        <f t="array" ref="K62">GBlackScholes("c",$D$4,$D$5,$D$8,$D$6,$D$6,F62)</f>
        <v>81.482884868640994</v>
      </c>
      <c r="L62" s="4">
        <f t="shared" si="3"/>
        <v>105.99999999999994</v>
      </c>
      <c r="M62" s="9">
        <f t="shared" si="4"/>
        <v>0.30088668523313977</v>
      </c>
      <c r="P62" s="7">
        <f t="shared" si="5"/>
        <v>2.6499999999999986</v>
      </c>
      <c r="Q62" s="6">
        <f t="shared" si="6"/>
        <v>9.2585575656795011E-2</v>
      </c>
      <c r="R62" s="15">
        <f t="shared" si="7"/>
        <v>0.90741442434320496</v>
      </c>
      <c r="S62" s="16">
        <f t="shared" si="8"/>
        <v>81.482884868640994</v>
      </c>
    </row>
    <row r="63" spans="6:19" x14ac:dyDescent="0.25">
      <c r="F63" s="7">
        <f t="shared" si="9"/>
        <v>2.6999999999999984</v>
      </c>
      <c r="G63" s="4" cm="1">
        <f t="array" ref="G63">D_one($D$4,$D$5,$D$8,$D$6,$D$6,F63)</f>
        <v>1.3499999999999992</v>
      </c>
      <c r="H63" s="8">
        <f t="shared" si="0"/>
        <v>0.91149200856259782</v>
      </c>
      <c r="I63" s="2">
        <f t="shared" si="10"/>
        <v>-1.3499999999999992</v>
      </c>
      <c r="J63" s="8">
        <f t="shared" si="2"/>
        <v>8.850799143740215E-2</v>
      </c>
      <c r="K63" s="4" cm="1">
        <f t="array" ref="K63">GBlackScholes("c",$D$4,$D$5,$D$8,$D$6,$D$6,F63)</f>
        <v>82.298401712519563</v>
      </c>
      <c r="L63" s="4">
        <f t="shared" si="3"/>
        <v>107.99999999999994</v>
      </c>
      <c r="M63" s="9">
        <f t="shared" si="4"/>
        <v>0.31229766013269433</v>
      </c>
      <c r="P63" s="7">
        <f t="shared" si="5"/>
        <v>2.6999999999999984</v>
      </c>
      <c r="Q63" s="6">
        <f t="shared" si="6"/>
        <v>8.850799143740215E-2</v>
      </c>
      <c r="R63" s="15">
        <f t="shared" si="7"/>
        <v>0.91149200856259782</v>
      </c>
      <c r="S63" s="16">
        <f t="shared" si="8"/>
        <v>82.298401712519563</v>
      </c>
    </row>
    <row r="64" spans="6:19" x14ac:dyDescent="0.25">
      <c r="F64" s="7">
        <f t="shared" si="9"/>
        <v>2.7499999999999982</v>
      </c>
      <c r="G64" s="4" cm="1">
        <f t="array" ref="G64">D_one($D$4,$D$5,$D$8,$D$6,$D$6,F64)</f>
        <v>1.3749999999999991</v>
      </c>
      <c r="H64" s="8">
        <f t="shared" si="0"/>
        <v>0.91543427764866414</v>
      </c>
      <c r="I64" s="2">
        <f t="shared" si="10"/>
        <v>-1.3749999999999991</v>
      </c>
      <c r="J64" s="8">
        <f t="shared" si="2"/>
        <v>8.4565722351335873E-2</v>
      </c>
      <c r="K64" s="4" cm="1">
        <f t="array" ref="K64">GBlackScholes("c",$D$4,$D$5,$D$8,$D$6,$D$6,F64)</f>
        <v>83.08685552973283</v>
      </c>
      <c r="L64" s="4">
        <f t="shared" si="3"/>
        <v>109.99999999999993</v>
      </c>
      <c r="M64" s="9">
        <f t="shared" si="4"/>
        <v>0.32391579027366335</v>
      </c>
      <c r="P64" s="7">
        <f t="shared" si="5"/>
        <v>2.7499999999999982</v>
      </c>
      <c r="Q64" s="6">
        <f t="shared" si="6"/>
        <v>8.4565722351335873E-2</v>
      </c>
      <c r="R64" s="15">
        <f t="shared" si="7"/>
        <v>0.91543427764866414</v>
      </c>
      <c r="S64" s="16">
        <f t="shared" si="8"/>
        <v>83.08685552973283</v>
      </c>
    </row>
    <row r="65" spans="6:19" x14ac:dyDescent="0.25">
      <c r="F65" s="7">
        <f t="shared" si="9"/>
        <v>2.799999999999998</v>
      </c>
      <c r="G65" s="4" cm="1">
        <f t="array" ref="G65">D_one($D$4,$D$5,$D$8,$D$6,$D$6,F65)</f>
        <v>1.399999999999999</v>
      </c>
      <c r="H65" s="8">
        <f t="shared" si="0"/>
        <v>0.91924334076622882</v>
      </c>
      <c r="I65" s="2">
        <f t="shared" si="10"/>
        <v>-1.399999999999999</v>
      </c>
      <c r="J65" s="8">
        <f t="shared" si="2"/>
        <v>8.0756659233771164E-2</v>
      </c>
      <c r="K65" s="4" cm="1">
        <f t="array" ref="K65">GBlackScholes("c",$D$4,$D$5,$D$8,$D$6,$D$6,F65)</f>
        <v>83.848668153245754</v>
      </c>
      <c r="L65" s="4">
        <f t="shared" si="3"/>
        <v>111.99999999999991</v>
      </c>
      <c r="M65" s="9">
        <f t="shared" si="4"/>
        <v>0.3357397614867712</v>
      </c>
      <c r="P65" s="7">
        <f t="shared" si="5"/>
        <v>2.799999999999998</v>
      </c>
      <c r="Q65" s="6">
        <f t="shared" si="6"/>
        <v>8.0756659233771164E-2</v>
      </c>
      <c r="R65" s="15">
        <f t="shared" si="7"/>
        <v>0.91924334076622882</v>
      </c>
      <c r="S65" s="16">
        <f t="shared" si="8"/>
        <v>83.848668153245754</v>
      </c>
    </row>
    <row r="66" spans="6:19" x14ac:dyDescent="0.25">
      <c r="F66" s="7">
        <f t="shared" si="9"/>
        <v>2.8499999999999979</v>
      </c>
      <c r="G66" s="4" cm="1">
        <f t="array" ref="G66">D_one($D$4,$D$5,$D$8,$D$6,$D$6,F66)</f>
        <v>1.4249999999999989</v>
      </c>
      <c r="H66" s="8">
        <f t="shared" si="0"/>
        <v>0.92292139944792795</v>
      </c>
      <c r="I66" s="2">
        <f t="shared" si="10"/>
        <v>-1.4249999999999989</v>
      </c>
      <c r="J66" s="8">
        <f t="shared" si="2"/>
        <v>7.7078600552071996E-2</v>
      </c>
      <c r="K66" s="4" cm="1">
        <f t="array" ref="K66">GBlackScholes("c",$D$4,$D$5,$D$8,$D$6,$D$6,F66)</f>
        <v>84.584279889585588</v>
      </c>
      <c r="L66" s="4">
        <f t="shared" si="3"/>
        <v>113.99999999999991</v>
      </c>
      <c r="M66" s="9">
        <f t="shared" si="4"/>
        <v>0.34776816861020676</v>
      </c>
      <c r="P66" s="7">
        <f t="shared" si="5"/>
        <v>2.8499999999999979</v>
      </c>
      <c r="Q66" s="6">
        <f t="shared" si="6"/>
        <v>7.7078600552071996E-2</v>
      </c>
      <c r="R66" s="15">
        <f t="shared" si="7"/>
        <v>0.92292139944792795</v>
      </c>
      <c r="S66" s="16">
        <f t="shared" si="8"/>
        <v>84.584279889585588</v>
      </c>
    </row>
    <row r="67" spans="6:19" x14ac:dyDescent="0.25">
      <c r="F67" s="7">
        <f t="shared" si="9"/>
        <v>2.8999999999999977</v>
      </c>
      <c r="G67" s="4" cm="1">
        <f t="array" ref="G67">D_one($D$4,$D$5,$D$8,$D$6,$D$6,F67)</f>
        <v>1.4499999999999986</v>
      </c>
      <c r="H67" s="8">
        <f t="shared" si="0"/>
        <v>0.92647074039035149</v>
      </c>
      <c r="I67" s="2">
        <f t="shared" si="10"/>
        <v>-1.4499999999999991</v>
      </c>
      <c r="J67" s="8">
        <f t="shared" si="2"/>
        <v>7.3529259609648498E-2</v>
      </c>
      <c r="K67" s="4" cm="1">
        <f t="array" ref="K67">GBlackScholes("c",$D$4,$D$5,$D$8,$D$6,$D$6,F67)</f>
        <v>85.294148078070307</v>
      </c>
      <c r="L67" s="4">
        <f t="shared" si="3"/>
        <v>115.99999999999991</v>
      </c>
      <c r="M67" s="9">
        <f t="shared" si="4"/>
        <v>0.35999951478294068</v>
      </c>
      <c r="P67" s="7">
        <f t="shared" si="5"/>
        <v>2.8999999999999977</v>
      </c>
      <c r="Q67" s="6">
        <f t="shared" si="6"/>
        <v>7.3529259609648498E-2</v>
      </c>
      <c r="R67" s="15">
        <f t="shared" si="7"/>
        <v>0.92647074039035149</v>
      </c>
      <c r="S67" s="16">
        <f t="shared" si="8"/>
        <v>85.294148078070307</v>
      </c>
    </row>
    <row r="68" spans="6:19" x14ac:dyDescent="0.25">
      <c r="F68" s="7">
        <f t="shared" si="9"/>
        <v>2.9499999999999975</v>
      </c>
      <c r="G68" s="4" cm="1">
        <f t="array" ref="G68">D_one($D$4,$D$5,$D$8,$D$6,$D$6,F68)</f>
        <v>1.4749999999999985</v>
      </c>
      <c r="H68" s="8">
        <f t="shared" si="0"/>
        <v>0.9298937282887767</v>
      </c>
      <c r="I68" s="2">
        <f t="shared" ref="I68:I77" si="11">G68-(F68*SQRT($D$8))</f>
        <v>-1.474999999999999</v>
      </c>
      <c r="J68" s="8">
        <f t="shared" si="2"/>
        <v>7.0106271711223286E-2</v>
      </c>
      <c r="K68" s="4" cm="1">
        <f t="array" ref="K68">GBlackScholes("c",$D$4,$D$5,$D$8,$D$6,$D$6,F68)</f>
        <v>85.97874565775534</v>
      </c>
      <c r="L68" s="4">
        <f t="shared" si="3"/>
        <v>117.9999999999999</v>
      </c>
      <c r="M68" s="9">
        <f t="shared" si="4"/>
        <v>0.37243221097580892</v>
      </c>
      <c r="P68" s="7">
        <f t="shared" si="5"/>
        <v>2.9499999999999975</v>
      </c>
      <c r="Q68" s="6">
        <f t="shared" si="6"/>
        <v>7.0106271711223286E-2</v>
      </c>
      <c r="R68" s="15">
        <f t="shared" si="7"/>
        <v>0.9298937282887767</v>
      </c>
      <c r="S68" s="16">
        <f t="shared" si="8"/>
        <v>85.97874565775534</v>
      </c>
    </row>
    <row r="69" spans="6:19" x14ac:dyDescent="0.25">
      <c r="F69" s="7">
        <f t="shared" si="9"/>
        <v>2.9999999999999973</v>
      </c>
      <c r="G69" s="4" cm="1">
        <f t="array" ref="G69">D_one($D$4,$D$5,$D$8,$D$6,$D$6,F69)</f>
        <v>1.4999999999999987</v>
      </c>
      <c r="H69" s="8">
        <f t="shared" si="0"/>
        <v>0.9331927987311418</v>
      </c>
      <c r="I69" s="2">
        <f t="shared" si="11"/>
        <v>-1.4999999999999987</v>
      </c>
      <c r="J69" s="8">
        <f t="shared" si="2"/>
        <v>6.6807201268858196E-2</v>
      </c>
      <c r="K69" s="4" cm="1">
        <f t="array" ref="K69">GBlackScholes("c",$D$4,$D$5,$D$8,$D$6,$D$6,F69)</f>
        <v>86.638559746228353</v>
      </c>
      <c r="L69" s="4">
        <f t="shared" si="3"/>
        <v>119.99999999999989</v>
      </c>
      <c r="M69" s="9">
        <f t="shared" si="4"/>
        <v>0.3850645757673028</v>
      </c>
      <c r="P69" s="7">
        <f t="shared" si="5"/>
        <v>2.9999999999999973</v>
      </c>
      <c r="Q69" s="6">
        <f t="shared" si="6"/>
        <v>6.6807201268858196E-2</v>
      </c>
      <c r="R69" s="15">
        <f t="shared" si="7"/>
        <v>0.9331927987311418</v>
      </c>
      <c r="S69" s="16">
        <f t="shared" si="8"/>
        <v>86.638559746228353</v>
      </c>
    </row>
    <row r="70" spans="6:19" x14ac:dyDescent="0.25">
      <c r="F70" s="7">
        <f t="shared" si="9"/>
        <v>3.0499999999999972</v>
      </c>
      <c r="G70" s="4" cm="1">
        <f t="array" ref="G70">D_one($D$4,$D$5,$D$8,$D$6,$D$6,F70)</f>
        <v>1.5249999999999986</v>
      </c>
      <c r="H70" s="8">
        <f t="shared" si="0"/>
        <v>0.93637045117096718</v>
      </c>
      <c r="I70" s="2">
        <f t="shared" si="11"/>
        <v>-1.5249999999999986</v>
      </c>
      <c r="J70" s="8">
        <f t="shared" si="2"/>
        <v>6.3629548829032823E-2</v>
      </c>
      <c r="K70" s="4" cm="1">
        <f t="array" ref="K70">GBlackScholes("c",$D$4,$D$5,$D$8,$D$6,$D$6,F70)</f>
        <v>87.274090234193437</v>
      </c>
      <c r="L70" s="4">
        <f t="shared" si="3"/>
        <v>121.99999999999989</v>
      </c>
      <c r="M70" s="9">
        <f t="shared" si="4"/>
        <v>0.39789483537006332</v>
      </c>
      <c r="P70" s="7">
        <f t="shared" si="5"/>
        <v>3.0499999999999972</v>
      </c>
      <c r="Q70" s="6">
        <f t="shared" si="6"/>
        <v>6.3629548829032823E-2</v>
      </c>
      <c r="R70" s="15">
        <f t="shared" si="7"/>
        <v>0.93637045117096718</v>
      </c>
      <c r="S70" s="16">
        <f t="shared" si="8"/>
        <v>87.274090234193437</v>
      </c>
    </row>
    <row r="71" spans="6:19" x14ac:dyDescent="0.25">
      <c r="F71" s="7">
        <f t="shared" si="9"/>
        <v>3.099999999999997</v>
      </c>
      <c r="G71" s="4" cm="1">
        <f t="array" ref="G71">D_one($D$4,$D$5,$D$8,$D$6,$D$6,F71)</f>
        <v>1.5499999999999985</v>
      </c>
      <c r="H71" s="8">
        <f t="shared" si="0"/>
        <v>0.93942924199794087</v>
      </c>
      <c r="I71" s="2">
        <f t="shared" si="11"/>
        <v>-1.5499999999999985</v>
      </c>
      <c r="J71" s="8">
        <f t="shared" si="2"/>
        <v>6.0570758002059175E-2</v>
      </c>
      <c r="K71" s="4" cm="1">
        <f t="array" ref="K71">GBlackScholes("c",$D$4,$D$5,$D$8,$D$6,$D$6,F71)</f>
        <v>87.88584839958817</v>
      </c>
      <c r="L71" s="4">
        <f t="shared" si="3"/>
        <v>123.99999999999989</v>
      </c>
      <c r="M71" s="9">
        <f t="shared" si="4"/>
        <v>0.41092112391306168</v>
      </c>
      <c r="P71" s="7">
        <f t="shared" si="5"/>
        <v>3.099999999999997</v>
      </c>
      <c r="Q71" s="6">
        <f t="shared" si="6"/>
        <v>6.0570758002059175E-2</v>
      </c>
      <c r="R71" s="15">
        <f t="shared" si="7"/>
        <v>0.93942924199794087</v>
      </c>
      <c r="S71" s="16">
        <f t="shared" si="8"/>
        <v>87.88584839958817</v>
      </c>
    </row>
    <row r="72" spans="6:19" x14ac:dyDescent="0.25">
      <c r="F72" s="7">
        <f t="shared" si="9"/>
        <v>3.1499999999999968</v>
      </c>
      <c r="G72" s="4" cm="1">
        <f t="array" ref="G72">D_one($D$4,$D$5,$D$8,$D$6,$D$6,F72)</f>
        <v>1.5749999999999984</v>
      </c>
      <c r="H72" s="8">
        <f t="shared" si="0"/>
        <v>0.94237177772384673</v>
      </c>
      <c r="I72" s="2">
        <f t="shared" si="11"/>
        <v>-1.5749999999999984</v>
      </c>
      <c r="J72" s="8">
        <f t="shared" si="2"/>
        <v>5.7628222276153315E-2</v>
      </c>
      <c r="K72" s="4" cm="1">
        <f t="array" ref="K72">GBlackScholes("c",$D$4,$D$5,$D$8,$D$6,$D$6,F72)</f>
        <v>88.474355544769338</v>
      </c>
      <c r="L72" s="4">
        <f t="shared" si="3"/>
        <v>125.99999999999987</v>
      </c>
      <c r="M72" s="9">
        <f t="shared" si="4"/>
        <v>0.42414148398336726</v>
      </c>
      <c r="P72" s="7">
        <f t="shared" si="5"/>
        <v>3.1499999999999968</v>
      </c>
      <c r="Q72" s="6">
        <f t="shared" si="6"/>
        <v>5.7628222276153315E-2</v>
      </c>
      <c r="R72" s="15">
        <f t="shared" si="7"/>
        <v>0.94237177772384673</v>
      </c>
      <c r="S72" s="16">
        <f t="shared" si="8"/>
        <v>88.474355544769338</v>
      </c>
    </row>
    <row r="73" spans="6:19" x14ac:dyDescent="0.25">
      <c r="F73" s="7">
        <f t="shared" si="9"/>
        <v>3.1999999999999966</v>
      </c>
      <c r="G73" s="4" cm="1">
        <f t="array" ref="G73">D_one($D$4,$D$5,$D$8,$D$6,$D$6,F73)</f>
        <v>1.5999999999999983</v>
      </c>
      <c r="H73" s="8">
        <f t="shared" si="0"/>
        <v>0.94520070830044178</v>
      </c>
      <c r="I73" s="2">
        <f t="shared" si="11"/>
        <v>-1.5999999999999983</v>
      </c>
      <c r="J73" s="8">
        <f t="shared" si="2"/>
        <v>5.4799291699558182E-2</v>
      </c>
      <c r="K73" s="4" cm="1">
        <f t="array" ref="K73">GBlackScholes("c",$D$4,$D$5,$D$8,$D$6,$D$6,F73)</f>
        <v>89.040141660088381</v>
      </c>
      <c r="L73" s="4">
        <f t="shared" si="3"/>
        <v>127.99999999999986</v>
      </c>
      <c r="M73" s="9">
        <f t="shared" si="4"/>
        <v>0.43755386743027791</v>
      </c>
      <c r="P73" s="7">
        <f t="shared" si="5"/>
        <v>3.1999999999999966</v>
      </c>
      <c r="Q73" s="6">
        <f t="shared" si="6"/>
        <v>5.4799291699558182E-2</v>
      </c>
      <c r="R73" s="15">
        <f t="shared" si="7"/>
        <v>0.94520070830044178</v>
      </c>
      <c r="S73" s="16">
        <f t="shared" si="8"/>
        <v>89.040141660088381</v>
      </c>
    </row>
    <row r="74" spans="6:19" x14ac:dyDescent="0.25">
      <c r="F74" s="7">
        <f t="shared" si="9"/>
        <v>3.2499999999999964</v>
      </c>
      <c r="G74" s="4" cm="1">
        <f t="array" ref="G74">D_one($D$4,$D$5,$D$8,$D$6,$D$6,F74)</f>
        <v>1.6249999999999982</v>
      </c>
      <c r="H74" s="8">
        <f t="shared" si="0"/>
        <v>0.94791872058478033</v>
      </c>
      <c r="I74" s="2">
        <f t="shared" si="11"/>
        <v>-1.6249999999999982</v>
      </c>
      <c r="J74" s="8">
        <f t="shared" si="2"/>
        <v>5.2081279415219728E-2</v>
      </c>
      <c r="K74" s="4" cm="1">
        <f t="array" ref="K74">GBlackScholes("c",$D$4,$D$5,$D$8,$D$6,$D$6,F74)</f>
        <v>89.583744116956055</v>
      </c>
      <c r="L74" s="4">
        <f t="shared" si="3"/>
        <v>129.99999999999986</v>
      </c>
      <c r="M74" s="9">
        <f t="shared" si="4"/>
        <v>0.45115613643339536</v>
      </c>
      <c r="P74" s="7">
        <f t="shared" si="5"/>
        <v>3.2499999999999964</v>
      </c>
      <c r="Q74" s="6">
        <f t="shared" si="6"/>
        <v>5.2081279415219728E-2</v>
      </c>
      <c r="R74" s="15">
        <f t="shared" si="7"/>
        <v>0.94791872058478033</v>
      </c>
      <c r="S74" s="16">
        <f t="shared" si="8"/>
        <v>89.583744116956055</v>
      </c>
    </row>
    <row r="75" spans="6:19" x14ac:dyDescent="0.25">
      <c r="F75" s="7">
        <f t="shared" si="9"/>
        <v>3.2999999999999963</v>
      </c>
      <c r="G75" s="4" cm="1">
        <f t="array" ref="G75">D_one($D$4,$D$5,$D$8,$D$6,$D$6,F75)</f>
        <v>1.6499999999999981</v>
      </c>
      <c r="H75" s="8">
        <f t="shared" si="0"/>
        <v>0.95052853196635168</v>
      </c>
      <c r="I75" s="2">
        <f t="shared" si="11"/>
        <v>-1.6499999999999981</v>
      </c>
      <c r="J75" s="8">
        <f t="shared" si="2"/>
        <v>4.9471468033648276E-2</v>
      </c>
      <c r="K75" s="4" cm="1">
        <f t="array" ref="K75">GBlackScholes("c",$D$4,$D$5,$D$8,$D$6,$D$6,F75)</f>
        <v>90.105706393270353</v>
      </c>
      <c r="L75" s="4">
        <f t="shared" si="3"/>
        <v>131.99999999999986</v>
      </c>
      <c r="M75" s="9">
        <f t="shared" si="4"/>
        <v>0.46494606483500611</v>
      </c>
      <c r="P75" s="7">
        <f t="shared" si="5"/>
        <v>3.2999999999999963</v>
      </c>
      <c r="Q75" s="6">
        <f t="shared" si="6"/>
        <v>4.9471468033648276E-2</v>
      </c>
      <c r="R75" s="15">
        <f t="shared" si="7"/>
        <v>0.95052853196635168</v>
      </c>
      <c r="S75" s="16">
        <f t="shared" si="8"/>
        <v>90.105706393270353</v>
      </c>
    </row>
    <row r="76" spans="6:19" x14ac:dyDescent="0.25">
      <c r="F76" s="7">
        <f t="shared" si="9"/>
        <v>3.3499999999999961</v>
      </c>
      <c r="G76" s="4" cm="1">
        <f t="array" ref="G76">D_one($D$4,$D$5,$D$8,$D$6,$D$6,F76)</f>
        <v>1.674999999999998</v>
      </c>
      <c r="H76" s="8">
        <f t="shared" si="0"/>
        <v>0.95303288416925402</v>
      </c>
      <c r="I76" s="2">
        <f t="shared" si="11"/>
        <v>-1.674999999999998</v>
      </c>
      <c r="J76" s="8">
        <f t="shared" si="2"/>
        <v>4.6967115830745983E-2</v>
      </c>
      <c r="K76" s="4" cm="1">
        <f t="array" ref="K76">GBlackScholes("c",$D$4,$D$5,$D$8,$D$6,$D$6,F76)</f>
        <v>90.606576833850809</v>
      </c>
      <c r="L76" s="4">
        <f t="shared" ref="L76:L92" si="12">0.4*$D$4*F76*SQRT($D$8)</f>
        <v>133.99999999999983</v>
      </c>
      <c r="M76" s="9">
        <f t="shared" ref="M76:M92" si="13">L76/K76-1</f>
        <v>0.47892133973587159</v>
      </c>
      <c r="P76" s="7">
        <f t="shared" ref="P76:P89" si="14">F76</f>
        <v>3.3499999999999961</v>
      </c>
      <c r="Q76" s="6">
        <f t="shared" ref="Q76:Q89" si="15">J76</f>
        <v>4.6967115830745983E-2</v>
      </c>
      <c r="R76" s="15">
        <f t="shared" ref="R76:R89" si="16">H76</f>
        <v>0.95303288416925402</v>
      </c>
      <c r="S76" s="16">
        <f t="shared" ref="S76:S89" si="17">K76</f>
        <v>90.606576833850809</v>
      </c>
    </row>
    <row r="77" spans="6:19" x14ac:dyDescent="0.25">
      <c r="F77" s="7">
        <f t="shared" si="9"/>
        <v>3.3999999999999959</v>
      </c>
      <c r="G77" s="4" cm="1">
        <f t="array" ref="G77">D_one($D$4,$D$5,$D$8,$D$6,$D$6,F77)</f>
        <v>1.699999999999998</v>
      </c>
      <c r="H77" s="8">
        <f t="shared" si="0"/>
        <v>0.95543453724145677</v>
      </c>
      <c r="I77" s="2">
        <f t="shared" si="11"/>
        <v>-1.699999999999998</v>
      </c>
      <c r="J77" s="8">
        <f t="shared" si="2"/>
        <v>4.4565462758543194E-2</v>
      </c>
      <c r="K77" s="4" cm="1">
        <f t="array" ref="K77">GBlackScholes("c",$D$4,$D$5,$D$8,$D$6,$D$6,F77)</f>
        <v>91.086907448291356</v>
      </c>
      <c r="L77" s="4">
        <f t="shared" si="12"/>
        <v>135.99999999999983</v>
      </c>
      <c r="M77" s="9">
        <f t="shared" si="13"/>
        <v>0.4930795633522298</v>
      </c>
      <c r="P77" s="7">
        <f t="shared" si="14"/>
        <v>3.3999999999999959</v>
      </c>
      <c r="Q77" s="6">
        <f t="shared" si="15"/>
        <v>4.4565462758543194E-2</v>
      </c>
      <c r="R77" s="15">
        <f t="shared" si="16"/>
        <v>0.95543453724145677</v>
      </c>
      <c r="S77" s="16">
        <f t="shared" si="17"/>
        <v>91.086907448291356</v>
      </c>
    </row>
    <row r="78" spans="6:19" x14ac:dyDescent="0.25">
      <c r="F78" s="7">
        <f t="shared" ref="F78:F92" si="18">F77+0.05</f>
        <v>3.4499999999999957</v>
      </c>
      <c r="G78" s="4" cm="1">
        <f t="array" ref="G78">D_one($D$4,$D$5,$D$8,$D$6,$D$6,F78)</f>
        <v>1.7249999999999981</v>
      </c>
      <c r="H78" s="8">
        <f t="shared" si="0"/>
        <v>0.95773626374204734</v>
      </c>
      <c r="I78" s="2">
        <f t="shared" ref="I78:I83" si="19">G78-(F78*SQRT($D$8))</f>
        <v>-1.7249999999999976</v>
      </c>
      <c r="J78" s="8">
        <f t="shared" si="2"/>
        <v>4.2263736257952648E-2</v>
      </c>
      <c r="K78" s="4" cm="1">
        <f t="array" ref="K78">GBlackScholes("c",$D$4,$D$5,$D$8,$D$6,$D$6,F78)</f>
        <v>91.547252748409477</v>
      </c>
      <c r="L78" s="4">
        <f t="shared" si="12"/>
        <v>137.99999999999983</v>
      </c>
      <c r="M78" s="9">
        <f t="shared" si="13"/>
        <v>0.50741825513051686</v>
      </c>
      <c r="P78" s="7">
        <f t="shared" si="14"/>
        <v>3.4499999999999957</v>
      </c>
      <c r="Q78" s="6">
        <f t="shared" si="15"/>
        <v>4.2263736257952648E-2</v>
      </c>
      <c r="R78" s="15">
        <f t="shared" si="16"/>
        <v>0.95773626374204734</v>
      </c>
      <c r="S78" s="16">
        <f t="shared" si="17"/>
        <v>91.547252748409477</v>
      </c>
    </row>
    <row r="79" spans="6:19" x14ac:dyDescent="0.25">
      <c r="F79" s="7">
        <f t="shared" si="18"/>
        <v>3.4999999999999956</v>
      </c>
      <c r="G79" s="4" cm="1">
        <f t="array" ref="G79">D_one($D$4,$D$5,$D$8,$D$6,$D$6,F79)</f>
        <v>1.7499999999999976</v>
      </c>
      <c r="H79" s="8">
        <f t="shared" si="0"/>
        <v>0.95994084313618278</v>
      </c>
      <c r="I79" s="2">
        <f t="shared" si="19"/>
        <v>-1.749999999999998</v>
      </c>
      <c r="J79" s="8">
        <f t="shared" si="2"/>
        <v>4.0059156863817259E-2</v>
      </c>
      <c r="K79" s="4" cm="1">
        <f t="array" ref="K79">GBlackScholes("c",$D$4,$D$5,$D$8,$D$6,$D$6,F79)</f>
        <v>91.988168627236547</v>
      </c>
      <c r="L79" s="4">
        <f t="shared" si="12"/>
        <v>139.99999999999983</v>
      </c>
      <c r="M79" s="9">
        <f t="shared" si="13"/>
        <v>0.52193485411500595</v>
      </c>
      <c r="P79" s="7">
        <f t="shared" si="14"/>
        <v>3.4999999999999956</v>
      </c>
      <c r="Q79" s="6">
        <f t="shared" si="15"/>
        <v>4.0059156863817259E-2</v>
      </c>
      <c r="R79" s="15">
        <f t="shared" si="16"/>
        <v>0.95994084313618278</v>
      </c>
      <c r="S79" s="16">
        <f t="shared" si="17"/>
        <v>91.988168627236547</v>
      </c>
    </row>
    <row r="80" spans="6:19" x14ac:dyDescent="0.25">
      <c r="F80" s="7">
        <f t="shared" si="18"/>
        <v>3.5499999999999954</v>
      </c>
      <c r="G80" s="4" cm="1">
        <f t="array" ref="G80">D_one($D$4,$D$5,$D$8,$D$6,$D$6,F80)</f>
        <v>1.7749999999999977</v>
      </c>
      <c r="H80" s="8">
        <f t="shared" si="0"/>
        <v>0.96205105640631072</v>
      </c>
      <c r="I80" s="2">
        <f t="shared" si="19"/>
        <v>-1.7749999999999977</v>
      </c>
      <c r="J80" s="8">
        <f t="shared" si="2"/>
        <v>3.7948943593689312E-2</v>
      </c>
      <c r="K80" s="4" cm="1">
        <f t="array" ref="K80">GBlackScholes("c",$D$4,$D$5,$D$8,$D$6,$D$6,F80)</f>
        <v>92.41021128126215</v>
      </c>
      <c r="L80" s="4">
        <f t="shared" si="12"/>
        <v>141.99999999999983</v>
      </c>
      <c r="M80" s="9">
        <f t="shared" si="13"/>
        <v>0.53662672156224045</v>
      </c>
      <c r="P80" s="7">
        <f t="shared" si="14"/>
        <v>3.5499999999999954</v>
      </c>
      <c r="Q80" s="6">
        <f t="shared" si="15"/>
        <v>3.7948943593689312E-2</v>
      </c>
      <c r="R80" s="15">
        <f t="shared" si="16"/>
        <v>0.96205105640631072</v>
      </c>
      <c r="S80" s="16">
        <f t="shared" si="17"/>
        <v>92.41021128126215</v>
      </c>
    </row>
    <row r="81" spans="6:19" x14ac:dyDescent="0.25">
      <c r="F81" s="7">
        <f t="shared" si="18"/>
        <v>3.5999999999999952</v>
      </c>
      <c r="G81" s="4" cm="1">
        <f t="array" ref="G81">D_one($D$4,$D$5,$D$8,$D$6,$D$6,F81)</f>
        <v>1.7999999999999976</v>
      </c>
      <c r="H81" s="8">
        <f t="shared" si="0"/>
        <v>0.96406968088707401</v>
      </c>
      <c r="I81" s="2">
        <f t="shared" si="19"/>
        <v>-1.7999999999999976</v>
      </c>
      <c r="J81" s="8">
        <f t="shared" si="2"/>
        <v>3.5930319112925983E-2</v>
      </c>
      <c r="K81" s="4" cm="1">
        <f t="array" ref="K81">GBlackScholes("c",$D$4,$D$5,$D$8,$D$6,$D$6,F81)</f>
        <v>92.813936177414803</v>
      </c>
      <c r="L81" s="4">
        <f t="shared" si="12"/>
        <v>143.9999999999998</v>
      </c>
      <c r="M81" s="9">
        <f t="shared" si="13"/>
        <v>0.55149114379485331</v>
      </c>
      <c r="P81" s="7">
        <f t="shared" si="14"/>
        <v>3.5999999999999952</v>
      </c>
      <c r="Q81" s="6">
        <f t="shared" si="15"/>
        <v>3.5930319112925983E-2</v>
      </c>
      <c r="R81" s="15">
        <f t="shared" si="16"/>
        <v>0.96406968088707401</v>
      </c>
      <c r="S81" s="16">
        <f t="shared" si="17"/>
        <v>92.813936177414803</v>
      </c>
    </row>
    <row r="82" spans="6:19" x14ac:dyDescent="0.25">
      <c r="F82" s="7">
        <f t="shared" si="18"/>
        <v>3.649999999999995</v>
      </c>
      <c r="G82" s="4" cm="1">
        <f t="array" ref="G82">D_one($D$4,$D$5,$D$8,$D$6,$D$6,F82)</f>
        <v>1.8249999999999975</v>
      </c>
      <c r="H82" s="8">
        <f t="shared" si="0"/>
        <v>0.96599948533017743</v>
      </c>
      <c r="I82" s="2">
        <f t="shared" si="19"/>
        <v>-1.8249999999999975</v>
      </c>
      <c r="J82" s="8">
        <f t="shared" si="2"/>
        <v>3.400051466982261E-2</v>
      </c>
      <c r="K82" s="4" cm="1">
        <f t="array" ref="K82">GBlackScholes("c",$D$4,$D$5,$D$8,$D$6,$D$6,F82)</f>
        <v>93.199897066035476</v>
      </c>
      <c r="L82" s="4">
        <f t="shared" si="12"/>
        <v>145.9999999999998</v>
      </c>
      <c r="M82" s="9">
        <f t="shared" si="13"/>
        <v>0.56652533528608462</v>
      </c>
      <c r="P82" s="7">
        <f t="shared" si="14"/>
        <v>3.649999999999995</v>
      </c>
      <c r="Q82" s="6">
        <f t="shared" si="15"/>
        <v>3.400051466982261E-2</v>
      </c>
      <c r="R82" s="15">
        <f t="shared" si="16"/>
        <v>0.96599948533017743</v>
      </c>
      <c r="S82" s="16">
        <f t="shared" si="17"/>
        <v>93.199897066035476</v>
      </c>
    </row>
    <row r="83" spans="6:19" x14ac:dyDescent="0.25">
      <c r="F83" s="7">
        <f t="shared" si="18"/>
        <v>3.6999999999999948</v>
      </c>
      <c r="G83" s="4" cm="1">
        <f t="array" ref="G83">D_one($D$4,$D$5,$D$8,$D$6,$D$6,F83)</f>
        <v>1.8499999999999974</v>
      </c>
      <c r="H83" s="8">
        <f t="shared" si="0"/>
        <v>0.96784322520438615</v>
      </c>
      <c r="I83" s="2">
        <f t="shared" si="19"/>
        <v>-1.8499999999999974</v>
      </c>
      <c r="J83" s="8">
        <f t="shared" si="2"/>
        <v>3.2156774795613886E-2</v>
      </c>
      <c r="K83" s="4" cm="1">
        <f t="array" ref="K83">GBlackScholes("c",$D$4,$D$5,$D$8,$D$6,$D$6,F83)</f>
        <v>93.568645040877229</v>
      </c>
      <c r="L83" s="4">
        <f t="shared" si="12"/>
        <v>147.9999999999998</v>
      </c>
      <c r="M83" s="9">
        <f t="shared" si="13"/>
        <v>0.58172644196507495</v>
      </c>
      <c r="P83" s="7">
        <f t="shared" si="14"/>
        <v>3.6999999999999948</v>
      </c>
      <c r="Q83" s="6">
        <f t="shared" si="15"/>
        <v>3.2156774795613886E-2</v>
      </c>
      <c r="R83" s="15">
        <f t="shared" si="16"/>
        <v>0.96784322520438615</v>
      </c>
      <c r="S83" s="16">
        <f t="shared" si="17"/>
        <v>93.568645040877229</v>
      </c>
    </row>
    <row r="84" spans="6:19" x14ac:dyDescent="0.25">
      <c r="F84" s="7">
        <f t="shared" si="18"/>
        <v>3.7499999999999947</v>
      </c>
      <c r="G84" s="4" cm="1">
        <f t="array" ref="G84">D_one($D$4,$D$5,$D$8,$D$6,$D$6,F84)</f>
        <v>1.8749999999999976</v>
      </c>
      <c r="H84" s="8">
        <f t="shared" si="0"/>
        <v>0.9696036382347385</v>
      </c>
      <c r="I84" s="2">
        <f t="shared" ref="I84:I92" si="20">G84-(F84*SQRT($D$8))</f>
        <v>-1.8749999999999971</v>
      </c>
      <c r="J84" s="8">
        <f t="shared" si="2"/>
        <v>3.0396361765261563E-2</v>
      </c>
      <c r="K84" s="4" cm="1">
        <f t="array" ref="K84">GBlackScholes("c",$D$4,$D$5,$D$8,$D$6,$D$6,F84)</f>
        <v>93.920727646947697</v>
      </c>
      <c r="L84" s="4">
        <f t="shared" si="12"/>
        <v>149.99999999999977</v>
      </c>
      <c r="M84" s="9">
        <f t="shared" si="13"/>
        <v>0.59709154473181481</v>
      </c>
      <c r="P84" s="7">
        <f t="shared" si="14"/>
        <v>3.7499999999999947</v>
      </c>
      <c r="Q84" s="6">
        <f t="shared" si="15"/>
        <v>3.0396361765261563E-2</v>
      </c>
      <c r="R84" s="15">
        <f t="shared" si="16"/>
        <v>0.9696036382347385</v>
      </c>
      <c r="S84" s="16">
        <f t="shared" si="17"/>
        <v>93.920727646947697</v>
      </c>
    </row>
    <row r="85" spans="6:19" x14ac:dyDescent="0.25">
      <c r="F85" s="7">
        <f t="shared" si="18"/>
        <v>3.7999999999999945</v>
      </c>
      <c r="G85" s="4" cm="1">
        <f t="array" ref="G85">D_one($D$4,$D$5,$D$8,$D$6,$D$6,F85)</f>
        <v>1.8999999999999972</v>
      </c>
      <c r="H85" s="8">
        <f t="shared" si="0"/>
        <v>0.97128344018399804</v>
      </c>
      <c r="I85" s="2">
        <f t="shared" si="20"/>
        <v>-1.8999999999999972</v>
      </c>
      <c r="J85" s="8">
        <f t="shared" si="2"/>
        <v>2.8716559816001963E-2</v>
      </c>
      <c r="K85" s="4" cm="1">
        <f t="array" ref="K85">GBlackScholes("c",$D$4,$D$5,$D$8,$D$6,$D$6,F85)</f>
        <v>94.256688036799602</v>
      </c>
      <c r="L85" s="4">
        <f t="shared" si="12"/>
        <v>151.99999999999977</v>
      </c>
      <c r="M85" s="9">
        <f t="shared" si="13"/>
        <v>0.61261766316949395</v>
      </c>
      <c r="P85" s="7">
        <f t="shared" si="14"/>
        <v>3.7999999999999945</v>
      </c>
      <c r="Q85" s="6">
        <f t="shared" si="15"/>
        <v>2.8716559816001963E-2</v>
      </c>
      <c r="R85" s="15">
        <f t="shared" si="16"/>
        <v>0.97128344018399804</v>
      </c>
      <c r="S85" s="16">
        <f t="shared" si="17"/>
        <v>94.256688036799602</v>
      </c>
    </row>
    <row r="86" spans="6:19" x14ac:dyDescent="0.25">
      <c r="F86" s="7">
        <f t="shared" si="18"/>
        <v>3.8499999999999943</v>
      </c>
      <c r="G86" s="4" cm="1">
        <f t="array" ref="G86">D_one($D$4,$D$5,$D$8,$D$6,$D$6,F86)</f>
        <v>1.9249999999999972</v>
      </c>
      <c r="H86" s="8">
        <f t="shared" si="0"/>
        <v>0.97288532087835011</v>
      </c>
      <c r="I86" s="2">
        <f t="shared" si="20"/>
        <v>-1.9249999999999972</v>
      </c>
      <c r="J86" s="8">
        <f t="shared" si="2"/>
        <v>2.7114679121649832E-2</v>
      </c>
      <c r="K86" s="4" cm="1">
        <f t="array" ref="K86">GBlackScholes("c",$D$4,$D$5,$D$8,$D$6,$D$6,F86)</f>
        <v>94.577064175670031</v>
      </c>
      <c r="L86" s="4">
        <f t="shared" si="12"/>
        <v>153.99999999999977</v>
      </c>
      <c r="M86" s="9">
        <f t="shared" si="13"/>
        <v>0.62830175944091415</v>
      </c>
      <c r="P86" s="7">
        <f t="shared" si="14"/>
        <v>3.8499999999999943</v>
      </c>
      <c r="Q86" s="6">
        <f t="shared" si="15"/>
        <v>2.7114679121649832E-2</v>
      </c>
      <c r="R86" s="15">
        <f t="shared" si="16"/>
        <v>0.97288532087835011</v>
      </c>
      <c r="S86" s="16">
        <f t="shared" si="17"/>
        <v>94.577064175670031</v>
      </c>
    </row>
    <row r="87" spans="6:19" x14ac:dyDescent="0.25">
      <c r="F87" s="7">
        <f t="shared" si="18"/>
        <v>3.8999999999999941</v>
      </c>
      <c r="G87" s="4" cm="1">
        <f t="array" ref="G87">D_one($D$4,$D$5,$D$8,$D$6,$D$6,F87)</f>
        <v>1.9499999999999971</v>
      </c>
      <c r="H87" s="8">
        <f t="shared" si="0"/>
        <v>0.97441194047836122</v>
      </c>
      <c r="I87" s="2">
        <f t="shared" si="20"/>
        <v>-1.9499999999999971</v>
      </c>
      <c r="J87" s="8">
        <f t="shared" si="2"/>
        <v>2.5588059521638801E-2</v>
      </c>
      <c r="K87" s="4" cm="1">
        <f t="array" ref="K87">GBlackScholes("c",$D$4,$D$5,$D$8,$D$6,$D$6,F87)</f>
        <v>94.882388095672241</v>
      </c>
      <c r="L87" s="4">
        <f t="shared" si="12"/>
        <v>155.99999999999977</v>
      </c>
      <c r="M87" s="9">
        <f t="shared" si="13"/>
        <v>0.64414074235464169</v>
      </c>
      <c r="P87" s="7">
        <f t="shared" si="14"/>
        <v>3.8999999999999941</v>
      </c>
      <c r="Q87" s="6">
        <f t="shared" si="15"/>
        <v>2.5588059521638801E-2</v>
      </c>
      <c r="R87" s="15">
        <f t="shared" si="16"/>
        <v>0.97441194047836122</v>
      </c>
      <c r="S87" s="16">
        <f t="shared" si="17"/>
        <v>94.882388095672241</v>
      </c>
    </row>
    <row r="88" spans="6:19" x14ac:dyDescent="0.25">
      <c r="F88" s="7">
        <f t="shared" si="18"/>
        <v>3.949999999999994</v>
      </c>
      <c r="G88" s="4" cm="1">
        <f t="array" ref="G88">D_one($D$4,$D$5,$D$8,$D$6,$D$6,F88)</f>
        <v>1.974999999999997</v>
      </c>
      <c r="H88" s="8">
        <f t="shared" si="0"/>
        <v>0.97586592599527511</v>
      </c>
      <c r="I88" s="2">
        <f t="shared" si="20"/>
        <v>-1.974999999999997</v>
      </c>
      <c r="J88" s="8">
        <f t="shared" si="2"/>
        <v>2.4134074004724931E-2</v>
      </c>
      <c r="K88" s="4" cm="1">
        <f t="array" ref="K88">GBlackScholes("c",$D$4,$D$5,$D$8,$D$6,$D$6,F88)</f>
        <v>95.173185199055013</v>
      </c>
      <c r="L88" s="4">
        <f t="shared" si="12"/>
        <v>157.99999999999977</v>
      </c>
      <c r="M88" s="9">
        <f t="shared" si="13"/>
        <v>0.66013147158563923</v>
      </c>
      <c r="P88" s="7">
        <f t="shared" si="14"/>
        <v>3.949999999999994</v>
      </c>
      <c r="Q88" s="6">
        <f t="shared" si="15"/>
        <v>2.4134074004724931E-2</v>
      </c>
      <c r="R88" s="15">
        <f t="shared" si="16"/>
        <v>0.97586592599527511</v>
      </c>
      <c r="S88" s="16">
        <f t="shared" si="17"/>
        <v>95.173185199055013</v>
      </c>
    </row>
    <row r="89" spans="6:19" x14ac:dyDescent="0.25">
      <c r="F89" s="7">
        <f t="shared" si="18"/>
        <v>3.9999999999999938</v>
      </c>
      <c r="G89" s="4" cm="1">
        <f t="array" ref="G89">D_one($D$4,$D$5,$D$8,$D$6,$D$6,F89)</f>
        <v>1.9999999999999969</v>
      </c>
      <c r="H89" s="8">
        <f t="shared" si="0"/>
        <v>0.97724986805182068</v>
      </c>
      <c r="I89" s="2">
        <f t="shared" si="20"/>
        <v>-1.9999999999999969</v>
      </c>
      <c r="J89" s="8">
        <f t="shared" si="2"/>
        <v>2.2750131948179372E-2</v>
      </c>
      <c r="K89" s="4" cm="1">
        <f t="array" ref="K89">GBlackScholes("c",$D$4,$D$5,$D$8,$D$6,$D$6,F89)</f>
        <v>95.449973610364111</v>
      </c>
      <c r="L89" s="4">
        <f t="shared" si="12"/>
        <v>159.99999999999974</v>
      </c>
      <c r="M89" s="9">
        <f t="shared" si="13"/>
        <v>0.67627076203430914</v>
      </c>
      <c r="P89" s="7">
        <f t="shared" si="14"/>
        <v>3.9999999999999938</v>
      </c>
      <c r="Q89" s="6">
        <f t="shared" si="15"/>
        <v>2.2750131948179372E-2</v>
      </c>
      <c r="R89" s="15">
        <f t="shared" si="16"/>
        <v>0.97724986805182068</v>
      </c>
      <c r="S89" s="16">
        <f t="shared" si="17"/>
        <v>95.449973610364111</v>
      </c>
    </row>
    <row r="90" spans="6:19" x14ac:dyDescent="0.25">
      <c r="F90" s="7">
        <f t="shared" si="18"/>
        <v>4.0499999999999936</v>
      </c>
      <c r="G90" s="4" cm="1">
        <f t="array" ref="G90">D_one($D$4,$D$5,$D$8,$D$6,$D$6,F90)</f>
        <v>2.0249999999999968</v>
      </c>
      <c r="H90" s="8">
        <f t="shared" si="0"/>
        <v>0.9785663178858468</v>
      </c>
      <c r="I90" s="2">
        <f t="shared" si="20"/>
        <v>-2.0249999999999968</v>
      </c>
      <c r="J90" s="8">
        <f t="shared" si="2"/>
        <v>2.1433682114153151E-2</v>
      </c>
      <c r="K90" s="4" cm="1">
        <f t="array" ref="K90">GBlackScholes("c",$D$4,$D$5,$D$8,$D$6,$D$6,F90)</f>
        <v>95.713263577169357</v>
      </c>
      <c r="L90" s="4">
        <f t="shared" si="12"/>
        <v>161.99999999999974</v>
      </c>
      <c r="M90" s="9">
        <f t="shared" si="13"/>
        <v>0.69255538830714225</v>
      </c>
    </row>
    <row r="91" spans="6:19" x14ac:dyDescent="0.25">
      <c r="F91" s="7">
        <f t="shared" si="18"/>
        <v>4.0999999999999934</v>
      </c>
      <c r="G91" s="4" cm="1">
        <f t="array" ref="G91">D_one($D$4,$D$5,$D$8,$D$6,$D$6,F91)</f>
        <v>2.0499999999999967</v>
      </c>
      <c r="H91" s="8">
        <f t="shared" si="0"/>
        <v>0.97981778459429547</v>
      </c>
      <c r="I91" s="2">
        <f t="shared" si="20"/>
        <v>-2.0499999999999967</v>
      </c>
      <c r="J91" s="8">
        <f t="shared" si="2"/>
        <v>2.018221540570455E-2</v>
      </c>
      <c r="K91" s="4" cm="1">
        <f t="array" ref="K91">GBlackScholes("c",$D$4,$D$5,$D$8,$D$6,$D$6,F91)</f>
        <v>95.963556918859084</v>
      </c>
      <c r="L91" s="4">
        <f t="shared" si="12"/>
        <v>163.99999999999974</v>
      </c>
      <c r="M91" s="9">
        <f t="shared" si="13"/>
        <v>0.70898208930154727</v>
      </c>
    </row>
    <row r="92" spans="6:19" x14ac:dyDescent="0.25">
      <c r="F92" s="7">
        <f t="shared" si="18"/>
        <v>4.1499999999999932</v>
      </c>
      <c r="G92" s="4" cm="1">
        <f t="array" ref="G92">D_one($D$4,$D$5,$D$8,$D$6,$D$6,F92)</f>
        <v>2.0749999999999966</v>
      </c>
      <c r="H92" s="8">
        <f t="shared" si="0"/>
        <v>0.9810067326142613</v>
      </c>
      <c r="I92" s="2">
        <f t="shared" si="20"/>
        <v>-2.0749999999999966</v>
      </c>
      <c r="J92" s="8">
        <f t="shared" si="2"/>
        <v>1.8993267385738692E-2</v>
      </c>
      <c r="K92" s="4" cm="1">
        <f t="array" ref="K92">GBlackScholes("c",$D$4,$D$5,$D$8,$D$6,$D$6,F92)</f>
        <v>96.201346522852262</v>
      </c>
      <c r="L92" s="4">
        <f t="shared" si="12"/>
        <v>165.99999999999972</v>
      </c>
      <c r="M92" s="9">
        <f t="shared" si="13"/>
        <v>0.72554757287692495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EF2739-5BBC-4E4D-B38F-B98D4613492E}">
  <sheetPr codeName="Sheet17"/>
  <dimension ref="A1:X96"/>
  <sheetViews>
    <sheetView showGridLines="0" zoomScale="80" zoomScaleNormal="80" workbookViewId="0">
      <selection activeCell="G7" sqref="G7"/>
    </sheetView>
  </sheetViews>
  <sheetFormatPr defaultRowHeight="15" x14ac:dyDescent="0.25"/>
  <cols>
    <col min="1" max="1" width="12" style="2" customWidth="1"/>
    <col min="2" max="2" width="9.140625" style="2"/>
    <col min="3" max="3" width="2.140625" style="2" customWidth="1"/>
    <col min="4" max="4" width="9.140625" style="2"/>
    <col min="5" max="5" width="9.5703125" style="2" customWidth="1"/>
    <col min="6" max="6" width="8.85546875" style="2" bestFit="1" customWidth="1"/>
    <col min="7" max="7" width="15.7109375" style="2" customWidth="1"/>
    <col min="8" max="8" width="9.140625" style="2"/>
    <col min="9" max="9" width="16.140625" style="2" customWidth="1"/>
    <col min="10" max="10" width="13.28515625" style="2" customWidth="1"/>
    <col min="11" max="11" width="11.7109375" style="2" customWidth="1"/>
    <col min="12" max="12" width="11.7109375" style="3" customWidth="1"/>
    <col min="13" max="13" width="13.28515625" style="2" customWidth="1"/>
    <col min="14" max="14" width="11.7109375" style="2" customWidth="1"/>
    <col min="15" max="15" width="11.7109375" style="3" customWidth="1"/>
    <col min="16" max="16" width="20.140625" style="41" customWidth="1"/>
    <col min="17" max="17" width="15.42578125" style="41" customWidth="1"/>
    <col min="18" max="18" width="16.42578125" style="41" customWidth="1"/>
    <col min="19" max="20" width="9.140625" style="2"/>
    <col min="21" max="21" width="11.5703125" style="2" bestFit="1" customWidth="1"/>
    <col min="22" max="22" width="21.5703125" style="2" bestFit="1" customWidth="1"/>
    <col min="23" max="23" width="9.140625" style="2"/>
    <col min="24" max="24" width="13.140625" style="2" bestFit="1" customWidth="1"/>
    <col min="25" max="16384" width="9.140625" style="2"/>
  </cols>
  <sheetData>
    <row r="1" spans="1:24" ht="15.75" thickBot="1" x14ac:dyDescent="0.3"/>
    <row r="2" spans="1:24" x14ac:dyDescent="0.25">
      <c r="A2" s="97" t="s">
        <v>21</v>
      </c>
      <c r="B2" s="98"/>
      <c r="I2" s="46"/>
      <c r="J2" s="101" t="s">
        <v>28</v>
      </c>
      <c r="K2" s="101"/>
      <c r="L2" s="101"/>
      <c r="M2" s="101" t="s">
        <v>29</v>
      </c>
      <c r="N2" s="101"/>
      <c r="O2" s="102"/>
    </row>
    <row r="3" spans="1:24" x14ac:dyDescent="0.25">
      <c r="A3" s="11" t="s">
        <v>23</v>
      </c>
      <c r="B3" s="31">
        <v>20</v>
      </c>
      <c r="D3" s="28" t="s">
        <v>20</v>
      </c>
      <c r="E3" s="28" t="s">
        <v>19</v>
      </c>
      <c r="F3" s="28" t="s">
        <v>7</v>
      </c>
      <c r="G3" s="28" t="s">
        <v>11</v>
      </c>
      <c r="H3" s="28" t="s">
        <v>10</v>
      </c>
      <c r="I3" s="47" t="s">
        <v>27</v>
      </c>
      <c r="J3" s="39" t="s">
        <v>26</v>
      </c>
      <c r="K3" s="39" t="s">
        <v>25</v>
      </c>
      <c r="L3" s="40" t="s">
        <v>30</v>
      </c>
      <c r="M3" s="39" t="s">
        <v>26</v>
      </c>
      <c r="N3" s="39" t="s">
        <v>25</v>
      </c>
      <c r="O3" s="50" t="s">
        <v>30</v>
      </c>
      <c r="P3" s="42" t="s">
        <v>8</v>
      </c>
      <c r="Q3" s="42" t="s">
        <v>9</v>
      </c>
      <c r="R3" s="42" t="s">
        <v>13</v>
      </c>
      <c r="S3" s="12" t="s">
        <v>110</v>
      </c>
    </row>
    <row r="4" spans="1:24" x14ac:dyDescent="0.25">
      <c r="A4" s="11" t="s">
        <v>0</v>
      </c>
      <c r="B4" s="31">
        <v>24</v>
      </c>
      <c r="D4" s="49">
        <f>B7</f>
        <v>30</v>
      </c>
      <c r="E4" s="34">
        <f>B3</f>
        <v>20</v>
      </c>
      <c r="F4" s="30">
        <f>IF(D4&gt;=0,$B$6,"")</f>
        <v>0.47</v>
      </c>
      <c r="G4" s="29" cm="1">
        <f t="array" ref="G4">IF(D4=0, MAX(0, E4-$B$4),GBlackScholes("c",E4,$B$4,D4/365,$B$5,$B$5,F4))</f>
        <v>0.11973911760724393</v>
      </c>
      <c r="H4" s="30">
        <f t="shared" ref="H4:H23" si="0">IFERROR(_xlfn.NORM.DIST(P4,0,1,TRUE),NA())</f>
        <v>9.927120927991484E-2</v>
      </c>
      <c r="I4" s="33">
        <f>IF($A$11="long",-H4,H4)</f>
        <v>9.927120927991484E-2</v>
      </c>
      <c r="J4" s="30" t="s">
        <v>14</v>
      </c>
      <c r="K4" s="33" t="s">
        <v>14</v>
      </c>
      <c r="L4" s="37" t="s">
        <v>14</v>
      </c>
      <c r="M4" s="30" t="s">
        <v>14</v>
      </c>
      <c r="N4" s="33" t="s">
        <v>14</v>
      </c>
      <c r="O4" s="51" t="s">
        <v>14</v>
      </c>
      <c r="P4" s="43">
        <f t="shared" ref="P4:P23" si="1">IFERROR(D_one(E4,$B$4,D4/365,$B$5,$B$5,F4),NA())</f>
        <v>-1.2857153601886353</v>
      </c>
      <c r="Q4" s="44">
        <f t="shared" ref="Q4:Q23" si="2">IFERROR(P4-(F4*SQRT(D4/365)),NA())</f>
        <v>-1.4204601722726693</v>
      </c>
      <c r="R4" s="45">
        <f t="shared" ref="R4:R23" si="3">IFERROR(_xlfn.NORM.DIST(Q4,0,1,TRUE),NA())</f>
        <v>7.773687783296053E-2</v>
      </c>
      <c r="S4" s="8" cm="1">
        <f t="array" ref="S4">Vega_kris(E4,$B$4,D4/365,$B$5,$B$5,F4)/100</f>
        <v>1.0009121764567743E-2</v>
      </c>
    </row>
    <row r="5" spans="1:24" x14ac:dyDescent="0.25">
      <c r="A5" s="11" t="s">
        <v>24</v>
      </c>
      <c r="B5" s="31">
        <v>0</v>
      </c>
      <c r="D5" s="4">
        <f>IF(D4-1&gt;=0, D4-1,NA())</f>
        <v>29</v>
      </c>
      <c r="E5" s="10">
        <f>IF(D5&gt;=0,E4*1.005,NA())</f>
        <v>20.099999999999998</v>
      </c>
      <c r="F5" s="30">
        <f t="shared" ref="F5:F68" si="4">IF(D5&gt;=0,$B$6,"")</f>
        <v>0.47</v>
      </c>
      <c r="G5" s="29" cm="1">
        <f t="array" ref="G5">IF(D5=0, MAX(0, E5-$B$4),GBlackScholes("c",E5,$B$4,D5/365,$B$5,$B$5,F5))</f>
        <v>0.12178843104552754</v>
      </c>
      <c r="H5" s="30">
        <f t="shared" si="0"/>
        <v>0.10162765656155699</v>
      </c>
      <c r="I5" s="33">
        <f t="shared" ref="I5:I68" si="5">IF($A$11="long",-H5,H5)</f>
        <v>0.10162765656155699</v>
      </c>
      <c r="J5" s="35">
        <f>IF($A$11="long",G5-G4, G4-G5)</f>
        <v>-2.0493134382836148E-3</v>
      </c>
      <c r="K5" s="36">
        <f>I4*(E5-E4)</f>
        <v>9.9271209279912717E-3</v>
      </c>
      <c r="L5" s="38">
        <f>J5+K5</f>
        <v>7.8778074897076569E-3</v>
      </c>
      <c r="M5" s="35">
        <f>SUM($J$5:J5)</f>
        <v>-2.0493134382836148E-3</v>
      </c>
      <c r="N5" s="35">
        <f>SUM($K$5:K5)</f>
        <v>9.9271209279912717E-3</v>
      </c>
      <c r="O5" s="52">
        <f>M5+N5</f>
        <v>7.8778074897076569E-3</v>
      </c>
      <c r="P5" s="43">
        <f t="shared" si="1"/>
        <v>-1.272331634920993</v>
      </c>
      <c r="Q5" s="44">
        <f t="shared" si="2"/>
        <v>-1.4048116670168134</v>
      </c>
      <c r="R5" s="45">
        <f t="shared" si="3"/>
        <v>8.0038644410073703E-2</v>
      </c>
      <c r="S5" s="8" cm="1">
        <f t="array" ref="S5">Vega_kris(E5,$B$4,D5/365,$B$5,$B$5,F5)/100</f>
        <v>1.0060850646933043E-2</v>
      </c>
    </row>
    <row r="6" spans="1:24" x14ac:dyDescent="0.25">
      <c r="A6" s="11" t="s">
        <v>22</v>
      </c>
      <c r="B6" s="32">
        <v>0.47</v>
      </c>
      <c r="D6" s="4">
        <f t="shared" ref="D6:D69" si="6">IF(D5-1&gt;=0, D5-1,NA())</f>
        <v>28</v>
      </c>
      <c r="E6" s="10">
        <f t="shared" ref="E6:E69" si="7">IF(D6&gt;=0,E5*1.005,NA())</f>
        <v>20.200499999999995</v>
      </c>
      <c r="F6" s="30">
        <f t="shared" si="4"/>
        <v>0.47</v>
      </c>
      <c r="G6" s="29" cm="1">
        <f t="array" ref="G6">IF(D6=0, MAX(0, E6-$B$4),GBlackScholes("c",E6,$B$4,D6/365,$B$5,$B$5,F6))</f>
        <v>0.12380698373199234</v>
      </c>
      <c r="H6" s="30">
        <f t="shared" si="0"/>
        <v>0.10403987018137215</v>
      </c>
      <c r="I6" s="33">
        <f t="shared" si="5"/>
        <v>0.10403987018137215</v>
      </c>
      <c r="J6" s="35">
        <f t="shared" ref="J6:J69" si="8">IF($A$11="long",G6-G5, G5-G6)</f>
        <v>-2.0185526864647946E-3</v>
      </c>
      <c r="K6" s="36">
        <f t="shared" ref="K6:K69" si="9">I5*(E6-E5)</f>
        <v>1.0213579484436143E-2</v>
      </c>
      <c r="L6" s="38">
        <f t="shared" ref="L6:L69" si="10">J6+K6</f>
        <v>8.1950267979713481E-3</v>
      </c>
      <c r="M6" s="35">
        <f>SUM($J$5:J6)</f>
        <v>-4.0678661247484094E-3</v>
      </c>
      <c r="N6" s="35">
        <f>SUM($K$5:K6)</f>
        <v>2.0140700412427416E-2</v>
      </c>
      <c r="O6" s="52">
        <f>M6+N6</f>
        <v>1.6072834287679007E-2</v>
      </c>
      <c r="P6" s="43">
        <f t="shared" si="1"/>
        <v>-1.2588632207874777</v>
      </c>
      <c r="Q6" s="44">
        <f t="shared" si="2"/>
        <v>-1.3890390765544267</v>
      </c>
      <c r="R6" s="45">
        <f t="shared" si="3"/>
        <v>8.2410433911117298E-2</v>
      </c>
      <c r="S6" s="8" cm="1">
        <f t="array" ref="S6">Vega_kris(E6,$B$4,D6/365,$B$5,$B$5,F6)/100</f>
        <v>1.0106099882804736E-2</v>
      </c>
    </row>
    <row r="7" spans="1:24" x14ac:dyDescent="0.25">
      <c r="A7" s="11" t="s">
        <v>20</v>
      </c>
      <c r="B7" s="31">
        <v>30</v>
      </c>
      <c r="D7" s="4">
        <f t="shared" si="6"/>
        <v>27</v>
      </c>
      <c r="E7" s="10">
        <f t="shared" si="7"/>
        <v>20.301502499999991</v>
      </c>
      <c r="F7" s="30">
        <f t="shared" si="4"/>
        <v>0.47</v>
      </c>
      <c r="G7" s="29" cm="1">
        <f t="array" ref="G7">IF(D7=0, MAX(0, E7-$B$4),GBlackScholes("c",E7,$B$4,D7/365,$B$5,$B$5,F7))</f>
        <v>0.12578528238307826</v>
      </c>
      <c r="H7" s="30">
        <f t="shared" si="0"/>
        <v>0.10650802824205521</v>
      </c>
      <c r="I7" s="33">
        <f t="shared" si="5"/>
        <v>0.10650802824205521</v>
      </c>
      <c r="J7" s="35">
        <f t="shared" si="8"/>
        <v>-1.9782986510859246E-3</v>
      </c>
      <c r="K7" s="36">
        <f t="shared" si="9"/>
        <v>1.0508286987993658E-2</v>
      </c>
      <c r="L7" s="38">
        <f t="shared" si="10"/>
        <v>8.5299883369077331E-3</v>
      </c>
      <c r="M7" s="35">
        <f>SUM($J$5:J7)</f>
        <v>-6.046164775834334E-3</v>
      </c>
      <c r="N7" s="35">
        <f>SUM($K$5:K7)</f>
        <v>3.0648987400421074E-2</v>
      </c>
      <c r="O7" s="52">
        <f t="shared" ref="O7:O70" si="11">M7+N7</f>
        <v>2.460282262458674E-2</v>
      </c>
      <c r="P7" s="43">
        <f t="shared" si="1"/>
        <v>-1.2453148028125414</v>
      </c>
      <c r="Q7" s="44">
        <f t="shared" si="2"/>
        <v>-1.3731449555356194</v>
      </c>
      <c r="R7" s="45">
        <f t="shared" si="3"/>
        <v>8.4853643873875242E-2</v>
      </c>
      <c r="S7" s="8" cm="1">
        <f t="array" ref="S7">Vega_kris(E7,$B$4,D7/365,$B$5,$B$5,F7)/100</f>
        <v>1.014424563178731E-2</v>
      </c>
    </row>
    <row r="8" spans="1:24" ht="15.75" thickBot="1" x14ac:dyDescent="0.3">
      <c r="A8" s="13" t="s">
        <v>6</v>
      </c>
      <c r="B8" s="14">
        <f>B7/365</f>
        <v>8.2191780821917804E-2</v>
      </c>
      <c r="D8" s="4">
        <f t="shared" si="6"/>
        <v>26</v>
      </c>
      <c r="E8" s="10">
        <f t="shared" si="7"/>
        <v>20.40301001249999</v>
      </c>
      <c r="F8" s="30">
        <f t="shared" si="4"/>
        <v>0.47</v>
      </c>
      <c r="G8" s="29" cm="1">
        <f t="array" ref="G8">IF(D8=0, MAX(0, E8-$B$4),GBlackScholes("c",E8,$B$4,D8/365,$B$5,$B$5,F8))</f>
        <v>0.1277125156571727</v>
      </c>
      <c r="H8" s="30">
        <f t="shared" si="0"/>
        <v>0.10903202766360595</v>
      </c>
      <c r="I8" s="33">
        <f t="shared" si="5"/>
        <v>0.10903202766360595</v>
      </c>
      <c r="J8" s="35">
        <f t="shared" si="8"/>
        <v>-1.927233274094442E-3</v>
      </c>
      <c r="K8" s="36">
        <f t="shared" si="9"/>
        <v>1.0811365008130727E-2</v>
      </c>
      <c r="L8" s="38">
        <f t="shared" si="10"/>
        <v>8.8841317340362849E-3</v>
      </c>
      <c r="M8" s="35">
        <f>SUM($J$5:J8)</f>
        <v>-7.973398049928776E-3</v>
      </c>
      <c r="N8" s="35">
        <f>SUM($K$5:K8)</f>
        <v>4.1460352408551802E-2</v>
      </c>
      <c r="O8" s="52">
        <f t="shared" si="11"/>
        <v>3.3486954358623026E-2</v>
      </c>
      <c r="P8" s="43">
        <f t="shared" si="1"/>
        <v>-1.2316922783848725</v>
      </c>
      <c r="Q8" s="44">
        <f t="shared" si="2"/>
        <v>-1.3571328717578051</v>
      </c>
      <c r="R8" s="45">
        <f t="shared" si="3"/>
        <v>8.736949769847413E-2</v>
      </c>
      <c r="S8" s="8" cm="1">
        <f t="array" ref="S8">Vega_kris(E8,$B$4,D8/365,$B$5,$B$5,F8)/100</f>
        <v>1.01746076109843E-2</v>
      </c>
    </row>
    <row r="9" spans="1:24" x14ac:dyDescent="0.25">
      <c r="D9" s="4">
        <f t="shared" si="6"/>
        <v>25</v>
      </c>
      <c r="E9" s="10">
        <f t="shared" si="7"/>
        <v>20.505025062562488</v>
      </c>
      <c r="F9" s="30">
        <f t="shared" si="4"/>
        <v>0.47</v>
      </c>
      <c r="G9" s="29" cm="1">
        <f t="array" ref="G9">IF(D9=0, MAX(0, E9-$B$4),GBlackScholes("c",E9,$B$4,D9/365,$B$5,$B$5,F9))</f>
        <v>0.12957635633205852</v>
      </c>
      <c r="H9" s="30">
        <f t="shared" si="0"/>
        <v>0.1116114091980813</v>
      </c>
      <c r="I9" s="33">
        <f t="shared" si="5"/>
        <v>0.1116114091980813</v>
      </c>
      <c r="J9" s="35">
        <f t="shared" si="8"/>
        <v>-1.8638406748858194E-3</v>
      </c>
      <c r="K9" s="36">
        <f t="shared" si="9"/>
        <v>1.1122907760518417E-2</v>
      </c>
      <c r="L9" s="38">
        <f t="shared" si="10"/>
        <v>9.2590670856325975E-3</v>
      </c>
      <c r="M9" s="35">
        <f>SUM($J$5:J9)</f>
        <v>-9.8372387248145954E-3</v>
      </c>
      <c r="N9" s="35">
        <f>SUM($K$5:K9)</f>
        <v>5.2583260169070223E-2</v>
      </c>
      <c r="O9" s="52">
        <f t="shared" si="11"/>
        <v>4.2746021444255627E-2</v>
      </c>
      <c r="P9" s="43">
        <f t="shared" si="1"/>
        <v>-1.2180030376726503</v>
      </c>
      <c r="Q9" s="44">
        <f t="shared" si="2"/>
        <v>-1.3410076594813505</v>
      </c>
      <c r="R9" s="45">
        <f t="shared" si="3"/>
        <v>8.9958982886441552E-2</v>
      </c>
      <c r="S9" s="8" cm="1">
        <f t="array" ref="S9">Vega_kris(E9,$B$4,D9/365,$B$5,$B$5,F9)/100</f>
        <v>1.0196442188416114E-2</v>
      </c>
    </row>
    <row r="10" spans="1:24" x14ac:dyDescent="0.25">
      <c r="A10" s="99" t="s">
        <v>31</v>
      </c>
      <c r="B10" s="99"/>
      <c r="D10" s="4">
        <f t="shared" si="6"/>
        <v>24</v>
      </c>
      <c r="E10" s="10">
        <f t="shared" si="7"/>
        <v>20.607550187875297</v>
      </c>
      <c r="F10" s="30">
        <f t="shared" si="4"/>
        <v>0.47</v>
      </c>
      <c r="G10" s="29" cm="1">
        <f t="array" ref="G10">IF(D10=0, MAX(0, E10-$B$4),GBlackScholes("c",E10,$B$4,D10/365,$B$5,$B$5,F10))</f>
        <v>0.13137415231476898</v>
      </c>
      <c r="H10" s="30">
        <f t="shared" si="0"/>
        <v>0.11425304146962047</v>
      </c>
      <c r="I10" s="33">
        <f t="shared" si="5"/>
        <v>0.11425304146962047</v>
      </c>
      <c r="J10" s="35">
        <f t="shared" si="8"/>
        <v>-1.7977959827104595E-3</v>
      </c>
      <c r="K10" s="36">
        <f t="shared" si="9"/>
        <v>1.1442973714372487E-2</v>
      </c>
      <c r="L10" s="38">
        <f t="shared" si="10"/>
        <v>9.6451777316620274E-3</v>
      </c>
      <c r="M10" s="53">
        <f>SUM($J$5:J10)</f>
        <v>-1.1635034707525055E-2</v>
      </c>
      <c r="N10" s="53">
        <f>SUM($K$5:K10)</f>
        <v>6.402623388344271E-2</v>
      </c>
      <c r="O10" s="54">
        <f t="shared" si="11"/>
        <v>5.2391199175917655E-2</v>
      </c>
      <c r="P10" s="43">
        <f t="shared" si="1"/>
        <v>-1.2042160529312909</v>
      </c>
      <c r="Q10" s="44">
        <f t="shared" si="2"/>
        <v>-1.3247354767054249</v>
      </c>
      <c r="R10" s="45">
        <f t="shared" si="3"/>
        <v>9.2629451044774255E-2</v>
      </c>
      <c r="S10" s="8" cm="1">
        <f t="array" ref="S10">Vega_kris(E10,$B$4,D10/365,$B$5,$B$5,F10)/100</f>
        <v>1.0209478841018161E-2</v>
      </c>
    </row>
    <row r="11" spans="1:24" ht="18" customHeight="1" x14ac:dyDescent="0.25">
      <c r="A11" s="100" t="s">
        <v>33</v>
      </c>
      <c r="B11" s="100"/>
      <c r="D11" s="4">
        <f t="shared" si="6"/>
        <v>23</v>
      </c>
      <c r="E11" s="10">
        <f t="shared" si="7"/>
        <v>20.710587938814673</v>
      </c>
      <c r="F11" s="30">
        <f t="shared" si="4"/>
        <v>0.47</v>
      </c>
      <c r="G11" s="29" cm="1">
        <f t="array" ref="G11">IF(D11=0, MAX(0, E11-$B$4),GBlackScholes("c",E11,$B$4,D11/365,$B$5,$B$5,F11))</f>
        <v>0.13306721760644213</v>
      </c>
      <c r="H11" s="30">
        <f t="shared" si="0"/>
        <v>0.11694014352364261</v>
      </c>
      <c r="I11" s="33">
        <f t="shared" si="5"/>
        <v>0.11694014352364261</v>
      </c>
      <c r="J11" s="35">
        <f t="shared" si="8"/>
        <v>-1.6930652916731515E-3</v>
      </c>
      <c r="K11" s="36">
        <f t="shared" si="9"/>
        <v>1.1772376431012857E-2</v>
      </c>
      <c r="L11" s="38">
        <f t="shared" si="10"/>
        <v>1.0079311139339705E-2</v>
      </c>
      <c r="M11" s="35">
        <f>SUM($J$5:J11)</f>
        <v>-1.3328099999198206E-2</v>
      </c>
      <c r="N11" s="35">
        <f>SUM($K$5:K11)</f>
        <v>7.5798610314455561E-2</v>
      </c>
      <c r="O11" s="38">
        <f t="shared" si="11"/>
        <v>6.2470510315257355E-2</v>
      </c>
      <c r="P11" s="43">
        <f t="shared" si="1"/>
        <v>-1.1904227212604603</v>
      </c>
      <c r="Q11" s="44">
        <f t="shared" si="2"/>
        <v>-1.3084046098171251</v>
      </c>
      <c r="R11" s="45">
        <f t="shared" si="3"/>
        <v>9.5368054952262971E-2</v>
      </c>
      <c r="S11" s="8" cm="1">
        <f t="array" ref="S11">Vega_kris(E11,$B$4,D11/365,$B$5,$B$5,F11)/100</f>
        <v>1.0211734598021889E-2</v>
      </c>
    </row>
    <row r="12" spans="1:24" x14ac:dyDescent="0.25">
      <c r="D12" s="4">
        <f t="shared" si="6"/>
        <v>22</v>
      </c>
      <c r="E12" s="10">
        <f t="shared" si="7"/>
        <v>20.814140878508745</v>
      </c>
      <c r="F12" s="30">
        <f t="shared" si="4"/>
        <v>0.47</v>
      </c>
      <c r="G12" s="29" cm="1">
        <f t="array" ref="G12">IF(D12=0, MAX(0, E12-$B$4),GBlackScholes("c",E12,$B$4,D12/365,$B$5,$B$5,F12))</f>
        <v>0.13464824826766092</v>
      </c>
      <c r="H12" s="30">
        <f t="shared" si="0"/>
        <v>0.11967804048940325</v>
      </c>
      <c r="I12" s="33">
        <f t="shared" si="5"/>
        <v>0.11967804048940325</v>
      </c>
      <c r="J12" s="35">
        <f t="shared" si="8"/>
        <v>-1.5810306612187852E-3</v>
      </c>
      <c r="K12" s="36">
        <f t="shared" si="9"/>
        <v>1.2109495630119937E-2</v>
      </c>
      <c r="L12" s="38">
        <f t="shared" si="10"/>
        <v>1.0528464968901152E-2</v>
      </c>
      <c r="M12" s="35">
        <f>SUM($J$5:J12)</f>
        <v>-1.4909130660416992E-2</v>
      </c>
      <c r="N12" s="35">
        <f>SUM($K$5:K12)</f>
        <v>8.7908105944575501E-2</v>
      </c>
      <c r="O12" s="38">
        <f t="shared" si="11"/>
        <v>7.299897528415851E-2</v>
      </c>
      <c r="P12" s="43">
        <f t="shared" si="1"/>
        <v>-1.17659778829255</v>
      </c>
      <c r="Q12" s="44">
        <f t="shared" si="2"/>
        <v>-1.2919863516250796</v>
      </c>
      <c r="R12" s="45">
        <f t="shared" si="3"/>
        <v>9.8180935595117785E-2</v>
      </c>
      <c r="S12" s="8" cm="1">
        <f t="array" ref="S12">Vega_kris(E12,$B$4,D12/365,$B$5,$B$5,F12)/100</f>
        <v>1.0202763078268687E-2</v>
      </c>
      <c r="U12" s="3"/>
      <c r="V12" s="3"/>
      <c r="W12" s="3"/>
      <c r="X12" s="3"/>
    </row>
    <row r="13" spans="1:24" x14ac:dyDescent="0.25">
      <c r="D13" s="4">
        <f t="shared" si="6"/>
        <v>21</v>
      </c>
      <c r="E13" s="10">
        <f t="shared" si="7"/>
        <v>20.918211582901286</v>
      </c>
      <c r="F13" s="30">
        <f t="shared" si="4"/>
        <v>0.47</v>
      </c>
      <c r="G13" s="29" cm="1">
        <f t="array" ref="G13">IF(D13=0, MAX(0, E13-$B$4),GBlackScholes("c",E13,$B$4,D13/365,$B$5,$B$5,F13))</f>
        <v>0.13610826504059226</v>
      </c>
      <c r="H13" s="30">
        <f t="shared" si="0"/>
        <v>0.12247220152860719</v>
      </c>
      <c r="I13" s="33">
        <f t="shared" si="5"/>
        <v>0.12247220152860719</v>
      </c>
      <c r="J13" s="35">
        <f t="shared" si="8"/>
        <v>-1.4600167729313385E-3</v>
      </c>
      <c r="K13" s="36">
        <f t="shared" si="9"/>
        <v>1.2454977974051221E-2</v>
      </c>
      <c r="L13" s="38">
        <f t="shared" si="10"/>
        <v>1.0994961201119882E-2</v>
      </c>
      <c r="M13" s="35">
        <f>SUM($J$5:J13)</f>
        <v>-1.636914743334833E-2</v>
      </c>
      <c r="N13" s="35">
        <f>SUM($K$5:K13)</f>
        <v>0.10036308391862672</v>
      </c>
      <c r="O13" s="38">
        <f t="shared" si="11"/>
        <v>8.3993936485278392E-2</v>
      </c>
      <c r="P13" s="43">
        <f t="shared" si="1"/>
        <v>-1.1627168493978781</v>
      </c>
      <c r="Q13" s="44">
        <f t="shared" si="2"/>
        <v>-1.275452447451435</v>
      </c>
      <c r="R13" s="45">
        <f t="shared" si="3"/>
        <v>0.10107457254062993</v>
      </c>
      <c r="S13" s="8" cm="1">
        <f t="array" ref="S13">Vega_kris(E13,$B$4,D13/365,$B$5,$B$5,F13)/100</f>
        <v>1.0182020403452398E-2</v>
      </c>
      <c r="U13" s="7"/>
      <c r="V13" s="16"/>
      <c r="W13" s="16"/>
      <c r="X13" s="6"/>
    </row>
    <row r="14" spans="1:24" x14ac:dyDescent="0.25">
      <c r="D14" s="4">
        <f t="shared" si="6"/>
        <v>20</v>
      </c>
      <c r="E14" s="10">
        <f t="shared" si="7"/>
        <v>21.02280264081579</v>
      </c>
      <c r="F14" s="30">
        <f t="shared" si="4"/>
        <v>0.47</v>
      </c>
      <c r="G14" s="29" cm="1">
        <f t="array" ref="G14">IF(D14=0, MAX(0, E14-$B$4),GBlackScholes("c",E14,$B$4,D14/365,$B$5,$B$5,F14))</f>
        <v>0.13741111638302755</v>
      </c>
      <c r="H14" s="30">
        <f t="shared" si="0"/>
        <v>0.1253103174518243</v>
      </c>
      <c r="I14" s="33">
        <f t="shared" si="5"/>
        <v>0.1253103174518243</v>
      </c>
      <c r="J14" s="35">
        <f t="shared" si="8"/>
        <v>-1.3028513424352961E-3</v>
      </c>
      <c r="K14" s="36">
        <f t="shared" si="9"/>
        <v>1.2809497122995409E-2</v>
      </c>
      <c r="L14" s="38">
        <f t="shared" si="10"/>
        <v>1.1506645780560112E-2</v>
      </c>
      <c r="M14" s="35">
        <f>SUM($J$5:J14)</f>
        <v>-1.7671998775783626E-2</v>
      </c>
      <c r="N14" s="35">
        <f>SUM($K$5:K14)</f>
        <v>0.11317258104162213</v>
      </c>
      <c r="O14" s="38">
        <f t="shared" si="11"/>
        <v>9.5500582265838505E-2</v>
      </c>
      <c r="P14" s="43">
        <f t="shared" si="1"/>
        <v>-1.1488432181232886</v>
      </c>
      <c r="Q14" s="44">
        <f t="shared" si="2"/>
        <v>-1.2588618964876512</v>
      </c>
      <c r="R14" s="45">
        <f t="shared" si="3"/>
        <v>0.10404010938929931</v>
      </c>
      <c r="S14" s="8" cm="1">
        <f t="array" ref="S14">Vega_kris(E14,$B$4,D14/365,$B$5,$B$5,F14)/100</f>
        <v>1.0147741951532271E-2</v>
      </c>
      <c r="U14" s="7"/>
      <c r="V14" s="16"/>
      <c r="W14" s="16"/>
      <c r="X14" s="6"/>
    </row>
    <row r="15" spans="1:24" x14ac:dyDescent="0.25">
      <c r="D15" s="4">
        <f t="shared" si="6"/>
        <v>19</v>
      </c>
      <c r="E15" s="10">
        <f t="shared" si="7"/>
        <v>21.127916654019867</v>
      </c>
      <c r="F15" s="30">
        <f t="shared" si="4"/>
        <v>0.47</v>
      </c>
      <c r="G15" s="29" cm="1">
        <f t="array" ref="G15">IF(D15=0, MAX(0, E15-$B$4),GBlackScholes("c",E15,$B$4,D15/365,$B$5,$B$5,F15))</f>
        <v>0.13852850502156688</v>
      </c>
      <c r="H15" s="30">
        <f t="shared" si="0"/>
        <v>0.12818659284668507</v>
      </c>
      <c r="I15" s="33">
        <f t="shared" si="5"/>
        <v>0.12818659284668507</v>
      </c>
      <c r="J15" s="35">
        <f t="shared" si="8"/>
        <v>-1.1173886385393295E-3</v>
      </c>
      <c r="K15" s="36">
        <f t="shared" si="9"/>
        <v>1.3171870363238069E-2</v>
      </c>
      <c r="L15" s="38">
        <f t="shared" si="10"/>
        <v>1.2054481724698739E-2</v>
      </c>
      <c r="M15" s="35">
        <f>SUM($J$5:J15)</f>
        <v>-1.8789387414322956E-2</v>
      </c>
      <c r="N15" s="35">
        <f>SUM($K$5:K15)</f>
        <v>0.1263444514048602</v>
      </c>
      <c r="O15" s="38">
        <f t="shared" si="11"/>
        <v>0.10755506399053724</v>
      </c>
      <c r="P15" s="43">
        <f t="shared" si="1"/>
        <v>-1.1350050900519315</v>
      </c>
      <c r="Q15" s="44">
        <f t="shared" si="2"/>
        <v>-1.2422380332624443</v>
      </c>
      <c r="R15" s="45">
        <f t="shared" si="3"/>
        <v>0.10707437541599622</v>
      </c>
      <c r="S15" s="8" cm="1">
        <f t="array" ref="S15">Vega_kris(E15,$B$4,D15/365,$B$5,$B$5,F15)/100</f>
        <v>1.0098567047406845E-2</v>
      </c>
      <c r="U15" s="7"/>
      <c r="V15" s="16"/>
      <c r="W15" s="16"/>
      <c r="X15" s="6"/>
    </row>
    <row r="16" spans="1:24" x14ac:dyDescent="0.25">
      <c r="D16" s="4">
        <f t="shared" si="6"/>
        <v>18</v>
      </c>
      <c r="E16" s="10">
        <f t="shared" si="7"/>
        <v>21.233556237289964</v>
      </c>
      <c r="F16" s="30">
        <f t="shared" si="4"/>
        <v>0.47</v>
      </c>
      <c r="G16" s="29" cm="1">
        <f t="array" ref="G16">IF(D16=0, MAX(0, E16-$B$4),GBlackScholes("c",E16,$B$4,D16/365,$B$5,$B$5,F16))</f>
        <v>0.13944067506028024</v>
      </c>
      <c r="H16" s="30">
        <f t="shared" si="0"/>
        <v>0.13110285338490746</v>
      </c>
      <c r="I16" s="33">
        <f t="shared" si="5"/>
        <v>0.13110285338490746</v>
      </c>
      <c r="J16" s="35">
        <f t="shared" si="8"/>
        <v>-9.1217003871335578E-4</v>
      </c>
      <c r="K16" s="36">
        <f t="shared" si="9"/>
        <v>1.3541578249137426E-2</v>
      </c>
      <c r="L16" s="38">
        <f t="shared" si="10"/>
        <v>1.262940821042407E-2</v>
      </c>
      <c r="M16" s="35">
        <f>SUM($J$5:J16)</f>
        <v>-1.9701557453036311E-2</v>
      </c>
      <c r="N16" s="35">
        <f>SUM($K$5:K16)</f>
        <v>0.13988602965399763</v>
      </c>
      <c r="O16" s="38">
        <f t="shared" si="11"/>
        <v>0.12018447220096132</v>
      </c>
      <c r="P16" s="43">
        <f t="shared" si="1"/>
        <v>-1.1211930280593636</v>
      </c>
      <c r="Q16" s="44">
        <f t="shared" si="2"/>
        <v>-1.2255659106972259</v>
      </c>
      <c r="R16" s="45">
        <f t="shared" si="3"/>
        <v>0.11018103635722876</v>
      </c>
      <c r="S16" s="8" cm="1">
        <f t="array" ref="S16">Vega_kris(E16,$B$4,D16/365,$B$5,$B$5,F16)/100</f>
        <v>1.0033522046815978E-2</v>
      </c>
      <c r="U16" s="7"/>
      <c r="V16" s="16"/>
      <c r="W16" s="16"/>
      <c r="X16" s="6"/>
    </row>
    <row r="17" spans="4:24" x14ac:dyDescent="0.25">
      <c r="D17" s="4">
        <f t="shared" si="6"/>
        <v>17</v>
      </c>
      <c r="E17" s="10">
        <f t="shared" si="7"/>
        <v>21.33972401847641</v>
      </c>
      <c r="F17" s="30">
        <f t="shared" si="4"/>
        <v>0.47</v>
      </c>
      <c r="G17" s="29" cm="1">
        <f t="array" ref="G17">IF(D17=0, MAX(0, E17-$B$4),GBlackScholes("c",E17,$B$4,D17/365,$B$5,$B$5,F17))</f>
        <v>0.14008336030445317</v>
      </c>
      <c r="H17" s="30">
        <f t="shared" si="0"/>
        <v>0.13402990913324841</v>
      </c>
      <c r="I17" s="33">
        <f t="shared" si="5"/>
        <v>0.13402990913324841</v>
      </c>
      <c r="J17" s="35">
        <f t="shared" si="8"/>
        <v>-6.4268524417293582E-4</v>
      </c>
      <c r="K17" s="36">
        <f t="shared" si="9"/>
        <v>1.3918899051087608E-2</v>
      </c>
      <c r="L17" s="38">
        <f t="shared" si="10"/>
        <v>1.3276213806914672E-2</v>
      </c>
      <c r="M17" s="35">
        <f>SUM($J$5:J17)</f>
        <v>-2.0344242697209247E-2</v>
      </c>
      <c r="N17" s="35">
        <f>SUM($K$5:K17)</f>
        <v>0.15380492870508525</v>
      </c>
      <c r="O17" s="38">
        <f t="shared" si="11"/>
        <v>0.133460686007876</v>
      </c>
      <c r="P17" s="43">
        <f t="shared" si="1"/>
        <v>-1.1075416429654923</v>
      </c>
      <c r="Q17" s="44">
        <f t="shared" si="2"/>
        <v>-1.2089738525967773</v>
      </c>
      <c r="R17" s="45">
        <f t="shared" si="3"/>
        <v>0.1133364454844303</v>
      </c>
      <c r="S17" s="8" cm="1">
        <f t="array" ref="S17">Vega_kris(E17,$B$4,D17/365,$B$5,$B$5,F17)/100</f>
        <v>9.9497706160638216E-3</v>
      </c>
      <c r="U17" s="7"/>
      <c r="V17" s="16"/>
      <c r="W17" s="16"/>
      <c r="X17" s="6"/>
    </row>
    <row r="18" spans="4:24" x14ac:dyDescent="0.25">
      <c r="D18" s="4">
        <f t="shared" si="6"/>
        <v>16</v>
      </c>
      <c r="E18" s="10">
        <f t="shared" si="7"/>
        <v>21.446422638568791</v>
      </c>
      <c r="F18" s="30">
        <f t="shared" si="4"/>
        <v>0.47</v>
      </c>
      <c r="G18" s="29" cm="1">
        <f t="array" ref="G18">IF(D18=0, MAX(0, E18-$B$4),GBlackScholes("c",E18,$B$4,D18/365,$B$5,$B$5,F18))</f>
        <v>0.14043812793185609</v>
      </c>
      <c r="H18" s="30">
        <f t="shared" si="0"/>
        <v>0.13697360627147817</v>
      </c>
      <c r="I18" s="33">
        <f t="shared" si="5"/>
        <v>0.13697360627147817</v>
      </c>
      <c r="J18" s="35">
        <f t="shared" si="8"/>
        <v>-3.5476762740291323E-4</v>
      </c>
      <c r="K18" s="36">
        <f t="shared" si="9"/>
        <v>1.4300806355624784E-2</v>
      </c>
      <c r="L18" s="38">
        <f t="shared" si="10"/>
        <v>1.3946038728221871E-2</v>
      </c>
      <c r="M18" s="35">
        <f>SUM($J$5:J18)</f>
        <v>-2.069901032461216E-2</v>
      </c>
      <c r="N18" s="35">
        <f>SUM($K$5:K18)</f>
        <v>0.16810573506071003</v>
      </c>
      <c r="O18" s="38">
        <f t="shared" si="11"/>
        <v>0.14740672473609787</v>
      </c>
      <c r="P18" s="43">
        <f t="shared" si="1"/>
        <v>-1.09401770649478</v>
      </c>
      <c r="Q18" s="44">
        <f t="shared" si="2"/>
        <v>-1.1924214039417402</v>
      </c>
      <c r="R18" s="45">
        <f t="shared" si="3"/>
        <v>0.11654802590036555</v>
      </c>
      <c r="S18" s="8" cm="1">
        <f t="array" ref="S18">Vega_kris(E18,$B$4,D18/365,$B$5,$B$5,F18)/100</f>
        <v>9.8464567748131181E-3</v>
      </c>
      <c r="U18" s="7"/>
      <c r="V18" s="16"/>
      <c r="W18" s="16"/>
      <c r="X18" s="6"/>
    </row>
    <row r="19" spans="4:24" x14ac:dyDescent="0.25">
      <c r="D19" s="4">
        <f t="shared" si="6"/>
        <v>15</v>
      </c>
      <c r="E19" s="10">
        <f t="shared" si="7"/>
        <v>21.553654751761634</v>
      </c>
      <c r="F19" s="30">
        <f t="shared" si="4"/>
        <v>0.47</v>
      </c>
      <c r="G19" s="29" cm="1">
        <f t="array" ref="G19">IF(D19=0, MAX(0, E19-$B$4),GBlackScholes("c",E19,$B$4,D19/365,$B$5,$B$5,F19))</f>
        <v>0.14045286303232629</v>
      </c>
      <c r="H19" s="30">
        <f t="shared" si="0"/>
        <v>0.13991690173814111</v>
      </c>
      <c r="I19" s="33">
        <f t="shared" si="5"/>
        <v>0.13991690173814111</v>
      </c>
      <c r="J19" s="35">
        <f t="shared" si="8"/>
        <v>-1.4735100470203433E-5</v>
      </c>
      <c r="K19" s="36">
        <f t="shared" si="9"/>
        <v>1.46879692521351E-2</v>
      </c>
      <c r="L19" s="38">
        <f t="shared" si="10"/>
        <v>1.4673234151664896E-2</v>
      </c>
      <c r="M19" s="35">
        <f>SUM($J$5:J19)</f>
        <v>-2.0713745425082364E-2</v>
      </c>
      <c r="N19" s="35">
        <f>SUM($K$5:K19)</f>
        <v>0.18279370431284514</v>
      </c>
      <c r="O19" s="38">
        <f t="shared" si="11"/>
        <v>0.16207995888776278</v>
      </c>
      <c r="P19" s="43">
        <f t="shared" si="1"/>
        <v>-1.0806927627530292</v>
      </c>
      <c r="Q19" s="44">
        <f t="shared" si="2"/>
        <v>-1.1759717331073567</v>
      </c>
      <c r="R19" s="45">
        <f t="shared" si="3"/>
        <v>0.11980308591504353</v>
      </c>
      <c r="S19" s="8" cm="1">
        <f t="array" ref="S19">Vega_kris(E19,$B$4,D19/365,$B$5,$B$5,F19)/100</f>
        <v>9.7213262570543385E-3</v>
      </c>
      <c r="U19" s="7"/>
      <c r="V19" s="16"/>
      <c r="W19" s="16"/>
      <c r="X19" s="6"/>
    </row>
    <row r="20" spans="4:24" x14ac:dyDescent="0.25">
      <c r="D20" s="4">
        <f t="shared" si="6"/>
        <v>14</v>
      </c>
      <c r="E20" s="10">
        <f t="shared" si="7"/>
        <v>21.661423025520438</v>
      </c>
      <c r="F20" s="30">
        <f t="shared" si="4"/>
        <v>0.47</v>
      </c>
      <c r="G20" s="29" cm="1">
        <f t="array" ref="G20">IF(D20=0, MAX(0, E20-$B$4),GBlackScholes("c",E20,$B$4,D20/365,$B$5,$B$5,F20))</f>
        <v>0.14003697983115324</v>
      </c>
      <c r="H20" s="30">
        <f t="shared" si="0"/>
        <v>0.142814150711886</v>
      </c>
      <c r="I20" s="33">
        <f t="shared" si="5"/>
        <v>0.142814150711886</v>
      </c>
      <c r="J20" s="35">
        <f t="shared" si="8"/>
        <v>4.1588320117305622E-4</v>
      </c>
      <c r="K20" s="36">
        <f t="shared" si="9"/>
        <v>1.5078602969999693E-2</v>
      </c>
      <c r="L20" s="38">
        <f t="shared" si="10"/>
        <v>1.549448617117275E-2</v>
      </c>
      <c r="M20" s="35">
        <f>SUM($J$5:J20)</f>
        <v>-2.0297862223909308E-2</v>
      </c>
      <c r="N20" s="35">
        <f>SUM($K$5:K20)</f>
        <v>0.19787230728284483</v>
      </c>
      <c r="O20" s="38">
        <f t="shared" si="11"/>
        <v>0.17757444505893552</v>
      </c>
      <c r="P20" s="43">
        <f t="shared" si="1"/>
        <v>-1.067761073204534</v>
      </c>
      <c r="Q20" s="44">
        <f t="shared" si="2"/>
        <v>-1.1598093035641055</v>
      </c>
      <c r="R20" s="45">
        <f t="shared" si="3"/>
        <v>0.1230632276833039</v>
      </c>
      <c r="S20" s="8" cm="1">
        <f t="array" ref="S20">Vega_kris(E20,$B$4,D20/365,$B$5,$B$5,F20)/100</f>
        <v>9.5706542502619861E-3</v>
      </c>
      <c r="U20" s="7"/>
      <c r="V20" s="16"/>
      <c r="W20" s="16"/>
      <c r="X20" s="6"/>
    </row>
    <row r="21" spans="4:24" x14ac:dyDescent="0.25">
      <c r="D21" s="4">
        <f t="shared" si="6"/>
        <v>13</v>
      </c>
      <c r="E21" s="10">
        <f t="shared" si="7"/>
        <v>21.76973014064804</v>
      </c>
      <c r="F21" s="30">
        <f t="shared" si="4"/>
        <v>0.47</v>
      </c>
      <c r="G21" s="29" cm="1">
        <f t="array" ref="G21">IF(D21=0, MAX(0, E21-$B$4),GBlackScholes("c",E21,$B$4,D21/365,$B$5,$B$5,F21))</f>
        <v>0.13914355287432539</v>
      </c>
      <c r="H21" s="30">
        <f t="shared" si="0"/>
        <v>0.14565463334916529</v>
      </c>
      <c r="I21" s="33">
        <f t="shared" si="5"/>
        <v>0.14565463334916529</v>
      </c>
      <c r="J21" s="35">
        <f t="shared" si="8"/>
        <v>8.934269568278419E-4</v>
      </c>
      <c r="K21" s="36">
        <f t="shared" si="9"/>
        <v>1.5467788663002883E-2</v>
      </c>
      <c r="L21" s="38">
        <f t="shared" si="10"/>
        <v>1.6361215619830727E-2</v>
      </c>
      <c r="M21" s="35">
        <f>SUM($J$5:J21)</f>
        <v>-1.9404435267081466E-2</v>
      </c>
      <c r="N21" s="35">
        <f>SUM($K$5:K21)</f>
        <v>0.21334009594584771</v>
      </c>
      <c r="O21" s="38">
        <f t="shared" si="11"/>
        <v>0.19393566067876625</v>
      </c>
      <c r="P21" s="43">
        <f t="shared" si="1"/>
        <v>-1.0552537953440757</v>
      </c>
      <c r="Q21" s="44">
        <f t="shared" si="2"/>
        <v>-1.1439536895541407</v>
      </c>
      <c r="R21" s="45">
        <f t="shared" si="3"/>
        <v>0.12632142161445828</v>
      </c>
      <c r="S21" s="8" cm="1">
        <f t="array" ref="S21">Vega_kris(E21,$B$4,D21/365,$B$5,$B$5,F21)/100</f>
        <v>9.3924987948351482E-3</v>
      </c>
      <c r="U21" s="7"/>
      <c r="V21" s="16"/>
      <c r="W21" s="16"/>
      <c r="X21" s="6"/>
    </row>
    <row r="22" spans="4:24" x14ac:dyDescent="0.25">
      <c r="D22" s="4">
        <f t="shared" si="6"/>
        <v>12</v>
      </c>
      <c r="E22" s="10">
        <f t="shared" si="7"/>
        <v>21.878578791351277</v>
      </c>
      <c r="F22" s="30">
        <f t="shared" si="4"/>
        <v>0.47</v>
      </c>
      <c r="G22" s="29" cm="1">
        <f t="array" ref="G22">IF(D22=0, MAX(0, E22-$B$4),GBlackScholes("c",E22,$B$4,D22/365,$B$5,$B$5,F22))</f>
        <v>0.13768276628270779</v>
      </c>
      <c r="H22" s="30">
        <f t="shared" si="0"/>
        <v>0.14839524562283926</v>
      </c>
      <c r="I22" s="33">
        <f t="shared" si="5"/>
        <v>0.14839524562283926</v>
      </c>
      <c r="J22" s="35">
        <f t="shared" si="8"/>
        <v>1.4607865916176077E-3</v>
      </c>
      <c r="K22" s="36">
        <f t="shared" si="9"/>
        <v>1.5854310308731367E-2</v>
      </c>
      <c r="L22" s="38">
        <f t="shared" si="10"/>
        <v>1.7315096900348975E-2</v>
      </c>
      <c r="M22" s="35">
        <f>SUM($J$5:J22)</f>
        <v>-1.7943648675463858E-2</v>
      </c>
      <c r="N22" s="35">
        <f>SUM($K$5:K22)</f>
        <v>0.22919440625457907</v>
      </c>
      <c r="O22" s="38">
        <f t="shared" si="11"/>
        <v>0.21125075757911521</v>
      </c>
      <c r="P22" s="43">
        <f t="shared" si="1"/>
        <v>-1.0433407781181927</v>
      </c>
      <c r="Q22" s="44">
        <f t="shared" si="2"/>
        <v>-1.1285608799335782</v>
      </c>
      <c r="R22" s="45">
        <f t="shared" si="3"/>
        <v>0.12954156060838101</v>
      </c>
      <c r="S22" s="8" cm="1">
        <f t="array" ref="S22">Vega_kris(E22,$B$4,D22/365,$B$5,$B$5,F22)/100</f>
        <v>9.1832411464547008E-3</v>
      </c>
      <c r="U22" s="7"/>
      <c r="V22" s="16"/>
      <c r="W22" s="16"/>
      <c r="X22" s="6"/>
    </row>
    <row r="23" spans="4:24" x14ac:dyDescent="0.25">
      <c r="D23" s="4">
        <f t="shared" si="6"/>
        <v>11</v>
      </c>
      <c r="E23" s="10">
        <f t="shared" si="7"/>
        <v>21.987971685308032</v>
      </c>
      <c r="F23" s="30">
        <f t="shared" si="4"/>
        <v>0.47</v>
      </c>
      <c r="G23" s="29" cm="1">
        <f t="array" ref="G23">IF(D23=0, MAX(0, E23-$B$4),GBlackScholes("c",E23,$B$4,D23/365,$B$5,$B$5,F23))</f>
        <v>0.1355299434214095</v>
      </c>
      <c r="H23" s="30">
        <f t="shared" si="0"/>
        <v>0.15096324104850767</v>
      </c>
      <c r="I23" s="33">
        <f t="shared" si="5"/>
        <v>0.15096324104850767</v>
      </c>
      <c r="J23" s="35">
        <f t="shared" si="8"/>
        <v>2.1528228612982814E-3</v>
      </c>
      <c r="K23" s="36">
        <f t="shared" si="9"/>
        <v>1.6233385368105934E-2</v>
      </c>
      <c r="L23" s="38">
        <f t="shared" si="10"/>
        <v>1.8386208229404215E-2</v>
      </c>
      <c r="M23" s="35">
        <f>SUM($J$5:J23)</f>
        <v>-1.5790825814165577E-2</v>
      </c>
      <c r="N23" s="35">
        <f>SUM($K$5:K23)</f>
        <v>0.24542779162268499</v>
      </c>
      <c r="O23" s="38">
        <f t="shared" si="11"/>
        <v>0.22963696580851942</v>
      </c>
      <c r="P23" s="43">
        <f t="shared" si="1"/>
        <v>-1.0323109307082579</v>
      </c>
      <c r="Q23" s="44">
        <f t="shared" si="2"/>
        <v>-1.113902966312063</v>
      </c>
      <c r="R23" s="45">
        <f t="shared" si="3"/>
        <v>0.13266040836471568</v>
      </c>
      <c r="S23" s="8" cm="1">
        <f t="array" ref="S23">Vega_kris(E23,$B$4,D23/365,$B$5,$B$5,F23)/100</f>
        <v>8.9379784599338992E-3</v>
      </c>
      <c r="U23" s="7"/>
      <c r="V23" s="16"/>
      <c r="W23" s="16"/>
      <c r="X23" s="6"/>
    </row>
    <row r="24" spans="4:24" x14ac:dyDescent="0.25">
      <c r="D24" s="4">
        <f t="shared" si="6"/>
        <v>10</v>
      </c>
      <c r="E24" s="10">
        <f t="shared" si="7"/>
        <v>22.097911543734572</v>
      </c>
      <c r="F24" s="30">
        <f t="shared" si="4"/>
        <v>0.47</v>
      </c>
      <c r="G24" s="29" cm="1">
        <f t="array" ref="G24">IF(D24=0, MAX(0, E24-$B$4),GBlackScholes("c",E24,$B$4,D24/365,$B$5,$B$5,F24))</f>
        <v>0.13254922081314058</v>
      </c>
      <c r="H24" s="30">
        <f t="shared" ref="H24:H68" si="12">IFERROR(_xlfn.NORM.DIST(P31,0,1,TRUE),NA())</f>
        <v>0.15327251635865213</v>
      </c>
      <c r="I24" s="33">
        <f t="shared" si="5"/>
        <v>0.15327251635865213</v>
      </c>
      <c r="J24" s="35">
        <f t="shared" si="8"/>
        <v>2.9807226082689264E-3</v>
      </c>
      <c r="K24" s="36">
        <f t="shared" si="9"/>
        <v>1.6596877348484477E-2</v>
      </c>
      <c r="L24" s="38">
        <f t="shared" si="10"/>
        <v>1.9577599956753403E-2</v>
      </c>
      <c r="M24" s="35">
        <f>SUM($J$5:J24)</f>
        <v>-1.281010320589665E-2</v>
      </c>
      <c r="N24" s="35">
        <f>SUM($K$5:K24)</f>
        <v>0.26202466897116949</v>
      </c>
      <c r="O24" s="52">
        <f t="shared" si="11"/>
        <v>0.24921456576527284</v>
      </c>
      <c r="P24" s="2"/>
      <c r="Q24" s="2"/>
      <c r="R24" s="2"/>
      <c r="U24" s="7"/>
      <c r="V24" s="16"/>
      <c r="W24" s="16"/>
      <c r="X24" s="6"/>
    </row>
    <row r="25" spans="4:24" x14ac:dyDescent="0.25">
      <c r="D25" s="4">
        <f t="shared" si="6"/>
        <v>9</v>
      </c>
      <c r="E25" s="10">
        <f t="shared" si="7"/>
        <v>22.208401101453241</v>
      </c>
      <c r="F25" s="30">
        <f t="shared" si="4"/>
        <v>0.47</v>
      </c>
      <c r="G25" s="29" cm="1">
        <f t="array" ref="G25">IF(D25=0, MAX(0, E25-$B$4),GBlackScholes("c",E25,$B$4,D25/365,$B$5,$B$5,F25))</f>
        <v>0.12858679759726382</v>
      </c>
      <c r="H25" s="30">
        <f t="shared" si="12"/>
        <v>0.1552144562661002</v>
      </c>
      <c r="I25" s="33">
        <f t="shared" si="5"/>
        <v>0.1552144562661002</v>
      </c>
      <c r="J25" s="35">
        <f t="shared" si="8"/>
        <v>3.9624232158767536E-3</v>
      </c>
      <c r="K25" s="36">
        <f t="shared" si="9"/>
        <v>1.6935012542894912E-2</v>
      </c>
      <c r="L25" s="38">
        <f t="shared" si="10"/>
        <v>2.0897435758771666E-2</v>
      </c>
      <c r="M25" s="35">
        <f>SUM($J$5:J25)</f>
        <v>-8.8476799900198966E-3</v>
      </c>
      <c r="N25" s="35">
        <f>SUM($K$5:K25)</f>
        <v>0.27895968151406442</v>
      </c>
      <c r="O25" s="52">
        <f t="shared" si="11"/>
        <v>0.27011200152404452</v>
      </c>
      <c r="P25" s="2"/>
      <c r="Q25" s="2"/>
      <c r="R25" s="2"/>
      <c r="U25" s="7"/>
      <c r="V25" s="16"/>
      <c r="W25" s="16"/>
      <c r="X25" s="6"/>
    </row>
    <row r="26" spans="4:24" x14ac:dyDescent="0.25">
      <c r="D26" s="4">
        <f t="shared" si="6"/>
        <v>8</v>
      </c>
      <c r="E26" s="10">
        <f t="shared" si="7"/>
        <v>22.319443106960506</v>
      </c>
      <c r="F26" s="30">
        <f t="shared" si="4"/>
        <v>0.47</v>
      </c>
      <c r="G26" s="29" cm="1">
        <f t="array" ref="G26">IF(D26=0, MAX(0, E26-$B$4),GBlackScholes("c",E26,$B$4,D26/365,$B$5,$B$5,F26))</f>
        <v>0.12341333578330407</v>
      </c>
      <c r="H26" s="30">
        <f t="shared" si="12"/>
        <v>0.15659557320951553</v>
      </c>
      <c r="I26" s="33">
        <f t="shared" si="5"/>
        <v>0.15659557320951553</v>
      </c>
      <c r="J26" s="35">
        <f t="shared" si="8"/>
        <v>5.173461813959751E-3</v>
      </c>
      <c r="K26" s="36">
        <f t="shared" si="9"/>
        <v>1.7235324507507466E-2</v>
      </c>
      <c r="L26" s="38">
        <f t="shared" si="10"/>
        <v>2.2408786321467217E-2</v>
      </c>
      <c r="M26" s="35">
        <f>SUM($J$5:J26)</f>
        <v>-3.6742181760601456E-3</v>
      </c>
      <c r="N26" s="35">
        <f>SUM($K$5:K26)</f>
        <v>0.29619500602157189</v>
      </c>
      <c r="O26" s="52">
        <f t="shared" si="11"/>
        <v>0.29252078784551172</v>
      </c>
      <c r="P26" s="2"/>
      <c r="Q26" s="2"/>
      <c r="R26" s="2"/>
      <c r="U26" s="7"/>
      <c r="V26" s="16"/>
      <c r="W26" s="16"/>
      <c r="X26" s="6"/>
    </row>
    <row r="27" spans="4:24" x14ac:dyDescent="0.25">
      <c r="D27" s="4">
        <f t="shared" si="6"/>
        <v>7</v>
      </c>
      <c r="E27" s="10">
        <f t="shared" si="7"/>
        <v>22.431040322495306</v>
      </c>
      <c r="F27" s="30">
        <f t="shared" si="4"/>
        <v>0.47</v>
      </c>
      <c r="G27" s="29" cm="1">
        <f t="array" ref="G27">IF(D27=0, MAX(0, E27-$B$4),GBlackScholes("c",E27,$B$4,D27/365,$B$5,$B$5,F27))</f>
        <v>0.11676908411426536</v>
      </c>
      <c r="H27" s="30">
        <f t="shared" si="12"/>
        <v>0.15715891966286918</v>
      </c>
      <c r="I27" s="33">
        <f t="shared" si="5"/>
        <v>0.15715891966286918</v>
      </c>
      <c r="J27" s="35">
        <f t="shared" si="8"/>
        <v>6.6442516690387171E-3</v>
      </c>
      <c r="K27" s="36">
        <f t="shared" si="9"/>
        <v>1.7475629935257919E-2</v>
      </c>
      <c r="L27" s="38">
        <f t="shared" si="10"/>
        <v>2.4119881604296636E-2</v>
      </c>
      <c r="M27" s="35">
        <f>SUM($J$5:J27)</f>
        <v>2.9700334929785716E-3</v>
      </c>
      <c r="N27" s="35">
        <f>SUM($K$5:K27)</f>
        <v>0.31367063595682981</v>
      </c>
      <c r="O27" s="52">
        <f t="shared" si="11"/>
        <v>0.3166406694498084</v>
      </c>
      <c r="P27" s="2"/>
      <c r="Q27" s="2"/>
      <c r="R27" s="2"/>
      <c r="U27" s="7"/>
      <c r="V27" s="16"/>
      <c r="W27" s="16"/>
      <c r="X27" s="6"/>
    </row>
    <row r="28" spans="4:24" x14ac:dyDescent="0.25">
      <c r="D28" s="4">
        <f t="shared" si="6"/>
        <v>6</v>
      </c>
      <c r="E28" s="10">
        <f t="shared" si="7"/>
        <v>22.54319552410778</v>
      </c>
      <c r="F28" s="30">
        <f t="shared" si="4"/>
        <v>0.47</v>
      </c>
      <c r="G28" s="29" cm="1">
        <f t="array" ref="G28">IF(D28=0, MAX(0, E28-$B$4),GBlackScholes("c",E28,$B$4,D28/365,$B$5,$B$5,F28))</f>
        <v>0.108292978078011</v>
      </c>
      <c r="H28" s="30">
        <f t="shared" si="12"/>
        <v>0.15647658808010242</v>
      </c>
      <c r="I28" s="33">
        <f t="shared" si="5"/>
        <v>0.15647658808010242</v>
      </c>
      <c r="J28" s="35">
        <f t="shared" si="8"/>
        <v>8.4761060362543578E-3</v>
      </c>
      <c r="K28" s="36">
        <f t="shared" si="9"/>
        <v>1.7626190319987672E-2</v>
      </c>
      <c r="L28" s="38">
        <f t="shared" si="10"/>
        <v>2.6102296356242029E-2</v>
      </c>
      <c r="M28" s="35">
        <f>SUM($J$5:J28)</f>
        <v>1.1446139529232929E-2</v>
      </c>
      <c r="N28" s="35">
        <f>SUM($K$5:K28)</f>
        <v>0.3312968262768175</v>
      </c>
      <c r="O28" s="52">
        <f t="shared" si="11"/>
        <v>0.34274296580605046</v>
      </c>
      <c r="P28" s="2"/>
      <c r="Q28" s="2"/>
      <c r="R28" s="2"/>
      <c r="U28" s="7"/>
      <c r="V28" s="16"/>
      <c r="W28" s="16"/>
      <c r="X28" s="6"/>
    </row>
    <row r="29" spans="4:24" x14ac:dyDescent="0.25">
      <c r="D29" s="4">
        <f t="shared" si="6"/>
        <v>5</v>
      </c>
      <c r="E29" s="10">
        <f t="shared" si="7"/>
        <v>22.655911501728315</v>
      </c>
      <c r="F29" s="30">
        <f t="shared" si="4"/>
        <v>0.47</v>
      </c>
      <c r="G29" s="29" cm="1">
        <f t="array" ref="G29">IF(D29=0, MAX(0, E29-$B$4),GBlackScholes("c",E29,$B$4,D29/365,$B$5,$B$5,F29))</f>
        <v>9.7486057811348961E-2</v>
      </c>
      <c r="H29" s="30">
        <f t="shared" si="12"/>
        <v>0.15381687279611531</v>
      </c>
      <c r="I29" s="33">
        <f t="shared" si="5"/>
        <v>0.15381687279611531</v>
      </c>
      <c r="J29" s="35">
        <f t="shared" si="8"/>
        <v>1.0806920266662037E-2</v>
      </c>
      <c r="K29" s="36">
        <f t="shared" si="9"/>
        <v>1.7637411600174548E-2</v>
      </c>
      <c r="L29" s="38">
        <f t="shared" si="10"/>
        <v>2.8444331866836585E-2</v>
      </c>
      <c r="M29" s="35">
        <f>SUM($J$5:J29)</f>
        <v>2.2253059795894967E-2</v>
      </c>
      <c r="N29" s="35">
        <f>SUM($K$5:K29)</f>
        <v>0.34893423787699207</v>
      </c>
      <c r="O29" s="52">
        <f t="shared" si="11"/>
        <v>0.37118729767288705</v>
      </c>
      <c r="P29" s="2"/>
      <c r="Q29" s="2"/>
      <c r="R29" s="2"/>
      <c r="U29" s="7"/>
      <c r="V29" s="16"/>
      <c r="W29" s="16"/>
      <c r="X29" s="6"/>
    </row>
    <row r="30" spans="4:24" x14ac:dyDescent="0.25">
      <c r="D30" s="4">
        <f t="shared" si="6"/>
        <v>4</v>
      </c>
      <c r="E30" s="10">
        <f t="shared" si="7"/>
        <v>22.769191059236956</v>
      </c>
      <c r="F30" s="30">
        <f t="shared" si="4"/>
        <v>0.47</v>
      </c>
      <c r="G30" s="29" cm="1">
        <f t="array" ref="G30">IF(D30=0, MAX(0, E30-$B$4),GBlackScholes("c",E30,$B$4,D30/365,$B$5,$B$5,F30))</f>
        <v>8.3705587465191952E-2</v>
      </c>
      <c r="H30" s="30">
        <f t="shared" si="12"/>
        <v>0.14792347576804993</v>
      </c>
      <c r="I30" s="33">
        <f t="shared" si="5"/>
        <v>0.14792347576804993</v>
      </c>
      <c r="J30" s="35">
        <f t="shared" si="8"/>
        <v>1.3780470346157009E-2</v>
      </c>
      <c r="K30" s="36">
        <f t="shared" si="9"/>
        <v>1.7424307287706782E-2</v>
      </c>
      <c r="L30" s="38">
        <f t="shared" si="10"/>
        <v>3.1204777633863791E-2</v>
      </c>
      <c r="M30" s="35">
        <f>SUM($J$5:J30)</f>
        <v>3.6033530142051975E-2</v>
      </c>
      <c r="N30" s="35">
        <f>SUM($K$5:K30)</f>
        <v>0.36635854516469885</v>
      </c>
      <c r="O30" s="52">
        <f t="shared" si="11"/>
        <v>0.40239207530675081</v>
      </c>
      <c r="P30" s="2"/>
      <c r="Q30" s="2"/>
      <c r="R30" s="2"/>
      <c r="U30" s="7"/>
      <c r="V30" s="16"/>
      <c r="W30" s="16"/>
      <c r="X30" s="6"/>
    </row>
    <row r="31" spans="4:24" x14ac:dyDescent="0.25">
      <c r="D31" s="4">
        <f t="shared" si="6"/>
        <v>3</v>
      </c>
      <c r="E31" s="10">
        <f t="shared" si="7"/>
        <v>22.883037014533137</v>
      </c>
      <c r="F31" s="30">
        <f t="shared" si="4"/>
        <v>0.47</v>
      </c>
      <c r="G31" s="29" cm="1">
        <f t="array" ref="G31">IF(D31=0, MAX(0, E31-$B$4),GBlackScholes("c",E31,$B$4,D31/365,$B$5,$B$5,F31))</f>
        <v>6.6040938727497514E-2</v>
      </c>
      <c r="H31" s="30">
        <f t="shared" si="12"/>
        <v>0.13627699953390768</v>
      </c>
      <c r="I31" s="33">
        <f t="shared" si="5"/>
        <v>0.13627699953390768</v>
      </c>
      <c r="J31" s="35">
        <f t="shared" si="8"/>
        <v>1.7664648737694438E-2</v>
      </c>
      <c r="K31" s="36">
        <f t="shared" si="9"/>
        <v>1.6840489409545162E-2</v>
      </c>
      <c r="L31" s="38">
        <f t="shared" si="10"/>
        <v>3.45051381472396E-2</v>
      </c>
      <c r="M31" s="35">
        <f>SUM($J$5:J31)</f>
        <v>5.3698178879746414E-2</v>
      </c>
      <c r="N31" s="35">
        <f>SUM($K$5:K31)</f>
        <v>0.38319903457424398</v>
      </c>
      <c r="O31" s="52">
        <f t="shared" si="11"/>
        <v>0.43689721345399041</v>
      </c>
      <c r="P31" s="55">
        <f t="shared" ref="P31:P62" si="13">IFERROR(D_one(E24,$B$4,D24/365,$B$5,$B$5,F24),NA())</f>
        <v>-1.0224984778361197</v>
      </c>
      <c r="Q31" s="44">
        <f t="shared" ref="Q31:Q62" si="14">IFERROR(P31-(F24*SQRT(D24/365)),NA())</f>
        <v>-1.1002934313647423</v>
      </c>
      <c r="R31" s="45">
        <f t="shared" ref="R31:R75" si="15">IFERROR(_xlfn.NORM.DIST(Q31,0,1,TRUE),NA())</f>
        <v>0.13560214660119649</v>
      </c>
      <c r="U31" s="7"/>
      <c r="V31" s="16"/>
      <c r="W31" s="16"/>
      <c r="X31" s="6"/>
    </row>
    <row r="32" spans="4:24" x14ac:dyDescent="0.25">
      <c r="D32" s="4">
        <f t="shared" si="6"/>
        <v>2</v>
      </c>
      <c r="E32" s="10">
        <f t="shared" si="7"/>
        <v>22.997452199605799</v>
      </c>
      <c r="F32" s="30">
        <f t="shared" si="4"/>
        <v>0.47</v>
      </c>
      <c r="G32" s="29" cm="1">
        <f t="array" ref="G32">IF(D32=0, MAX(0, E32-$B$4),GBlackScholes("c",E32,$B$4,D32/365,$B$5,$B$5,F32))</f>
        <v>4.3421297077958526E-2</v>
      </c>
      <c r="H32" s="30">
        <f t="shared" si="12"/>
        <v>0.11332679148608213</v>
      </c>
      <c r="I32" s="33">
        <f t="shared" si="5"/>
        <v>0.11332679148608213</v>
      </c>
      <c r="J32" s="35">
        <f t="shared" si="8"/>
        <v>2.2619641649538988E-2</v>
      </c>
      <c r="K32" s="36">
        <f t="shared" si="9"/>
        <v>1.5592158122819152E-2</v>
      </c>
      <c r="L32" s="38">
        <f t="shared" si="10"/>
        <v>3.821179977235814E-2</v>
      </c>
      <c r="M32" s="35">
        <f>SUM($J$5:J32)</f>
        <v>7.6317820529285402E-2</v>
      </c>
      <c r="N32" s="35">
        <f>SUM($K$5:K32)</f>
        <v>0.39879119269706315</v>
      </c>
      <c r="O32" s="54">
        <f t="shared" si="11"/>
        <v>0.47510901322634858</v>
      </c>
      <c r="P32" s="55">
        <f t="shared" si="13"/>
        <v>-1.0143224552606551</v>
      </c>
      <c r="Q32" s="44">
        <f t="shared" si="14"/>
        <v>-1.0881252283458753</v>
      </c>
      <c r="R32" s="45">
        <f t="shared" si="15"/>
        <v>0.13826991387261645</v>
      </c>
      <c r="U32" s="7"/>
      <c r="V32" s="16"/>
      <c r="W32" s="16"/>
      <c r="X32" s="6"/>
    </row>
    <row r="33" spans="4:24" x14ac:dyDescent="0.25">
      <c r="D33" s="4">
        <f t="shared" si="6"/>
        <v>1</v>
      </c>
      <c r="E33" s="10">
        <f t="shared" si="7"/>
        <v>23.112439460603827</v>
      </c>
      <c r="F33" s="30">
        <f t="shared" si="4"/>
        <v>0.47</v>
      </c>
      <c r="G33" s="29" cm="1">
        <f t="array" ref="G33">IF(D33=0, MAX(0, E33-$B$4),GBlackScholes("c",E33,$B$4,D33/365,$B$5,$B$5,F33))</f>
        <v>1.578467464260622E-2</v>
      </c>
      <c r="H33" s="30">
        <f t="shared" si="12"/>
        <v>6.431398358905073E-2</v>
      </c>
      <c r="I33" s="33">
        <f t="shared" si="5"/>
        <v>6.431398358905073E-2</v>
      </c>
      <c r="J33" s="35">
        <f t="shared" si="8"/>
        <v>2.7636622435352306E-2</v>
      </c>
      <c r="K33" s="36">
        <f t="shared" si="9"/>
        <v>1.3031137350679201E-2</v>
      </c>
      <c r="L33" s="38">
        <f t="shared" si="10"/>
        <v>4.0667759786031508E-2</v>
      </c>
      <c r="M33" s="35">
        <f>SUM($J$5:J33)</f>
        <v>0.10395444296463771</v>
      </c>
      <c r="N33" s="35">
        <f>SUM($K$5:K33)</f>
        <v>0.41182233004774232</v>
      </c>
      <c r="O33" s="38">
        <f t="shared" si="11"/>
        <v>0.51577677301238001</v>
      </c>
      <c r="P33" s="43">
        <f t="shared" si="13"/>
        <v>-1.0085486463318172</v>
      </c>
      <c r="Q33" s="44">
        <f t="shared" si="14"/>
        <v>-1.0781305680903921</v>
      </c>
      <c r="R33" s="45">
        <f t="shared" si="15"/>
        <v>0.14048774587121493</v>
      </c>
      <c r="U33" s="7"/>
      <c r="V33" s="16"/>
      <c r="W33" s="16"/>
      <c r="X33" s="6"/>
    </row>
    <row r="34" spans="4:24" x14ac:dyDescent="0.25">
      <c r="D34" s="4">
        <f t="shared" si="6"/>
        <v>0</v>
      </c>
      <c r="E34" s="10">
        <f t="shared" si="7"/>
        <v>23.228001657906844</v>
      </c>
      <c r="F34" s="30">
        <f t="shared" si="4"/>
        <v>0.47</v>
      </c>
      <c r="G34" s="29" cm="1">
        <f t="array" ref="G34">IF(D34=0, MAX(0, E34-$B$4),GBlackScholes("c",E34,$B$4,D34/365,$B$5,$B$5,F34))</f>
        <v>0</v>
      </c>
      <c r="H34" s="30" t="e">
        <f t="shared" si="12"/>
        <v>#N/A</v>
      </c>
      <c r="I34" s="33" t="e">
        <f t="shared" si="5"/>
        <v>#N/A</v>
      </c>
      <c r="J34" s="35">
        <f t="shared" si="8"/>
        <v>1.578467464260622E-2</v>
      </c>
      <c r="K34" s="36">
        <f t="shared" si="9"/>
        <v>7.4322652608608906E-3</v>
      </c>
      <c r="L34" s="38">
        <f t="shared" si="10"/>
        <v>2.3216939903467113E-2</v>
      </c>
      <c r="M34" s="35">
        <f>SUM($J$5:J34)</f>
        <v>0.11973911760724393</v>
      </c>
      <c r="N34" s="35">
        <f>SUM($K$5:K34)</f>
        <v>0.41925459530860321</v>
      </c>
      <c r="O34" s="38">
        <f t="shared" si="11"/>
        <v>0.53899371291584708</v>
      </c>
      <c r="P34" s="43">
        <f t="shared" si="13"/>
        <v>-1.0062031871904649</v>
      </c>
      <c r="Q34" s="44">
        <f t="shared" si="14"/>
        <v>-1.0712911150739395</v>
      </c>
      <c r="R34" s="45">
        <f t="shared" si="15"/>
        <v>0.14201927678514806</v>
      </c>
      <c r="U34" s="7"/>
      <c r="V34" s="16"/>
      <c r="W34" s="16"/>
      <c r="X34" s="6"/>
    </row>
    <row r="35" spans="4:24" x14ac:dyDescent="0.25">
      <c r="D35" s="4" t="e">
        <f t="shared" si="6"/>
        <v>#N/A</v>
      </c>
      <c r="E35" s="10" t="e">
        <f t="shared" si="7"/>
        <v>#N/A</v>
      </c>
      <c r="F35" s="30" t="e">
        <f t="shared" si="4"/>
        <v>#N/A</v>
      </c>
      <c r="G35" s="29" t="e" cm="1">
        <f t="array" ref="G35">IF(D35=0, MAX(0, E35-$B$4),GBlackScholes("c",E35,$B$4,D35/365,$B$5,$B$5,F35))</f>
        <v>#N/A</v>
      </c>
      <c r="H35" s="30" t="e">
        <f t="shared" si="12"/>
        <v>#N/A</v>
      </c>
      <c r="I35" s="33" t="e">
        <f t="shared" si="5"/>
        <v>#N/A</v>
      </c>
      <c r="J35" s="35" t="e">
        <f t="shared" si="8"/>
        <v>#N/A</v>
      </c>
      <c r="K35" s="36" t="e">
        <f t="shared" si="9"/>
        <v>#N/A</v>
      </c>
      <c r="L35" s="38" t="e">
        <f t="shared" si="10"/>
        <v>#N/A</v>
      </c>
      <c r="M35" s="35" t="e">
        <f>SUM($J$5:J35)</f>
        <v>#N/A</v>
      </c>
      <c r="N35" s="35" t="e">
        <f>SUM($K$5:K35)</f>
        <v>#N/A</v>
      </c>
      <c r="O35" s="38" t="e">
        <f t="shared" si="11"/>
        <v>#N/A</v>
      </c>
      <c r="P35" s="43">
        <f t="shared" si="13"/>
        <v>-1.0090447438126768</v>
      </c>
      <c r="Q35" s="44">
        <f t="shared" si="14"/>
        <v>-1.069304455699744</v>
      </c>
      <c r="R35" s="45">
        <f t="shared" si="15"/>
        <v>0.14246625176372305</v>
      </c>
      <c r="U35" s="7"/>
      <c r="V35" s="16"/>
      <c r="W35" s="16"/>
      <c r="X35" s="6"/>
    </row>
    <row r="36" spans="4:24" x14ac:dyDescent="0.25">
      <c r="D36" s="4" t="e">
        <f t="shared" si="6"/>
        <v>#N/A</v>
      </c>
      <c r="E36" s="10" t="e">
        <f t="shared" si="7"/>
        <v>#N/A</v>
      </c>
      <c r="F36" s="30" t="e">
        <f t="shared" si="4"/>
        <v>#N/A</v>
      </c>
      <c r="G36" s="29" t="e" cm="1">
        <f t="array" ref="G36">IF(D36=0, MAX(0, E36-$B$4),GBlackScholes("c",E36,$B$4,D36/365,$B$5,$B$5,F36))</f>
        <v>#N/A</v>
      </c>
      <c r="H36" s="30" t="e">
        <f t="shared" si="12"/>
        <v>#N/A</v>
      </c>
      <c r="I36" s="33" t="e">
        <f t="shared" si="5"/>
        <v>#N/A</v>
      </c>
      <c r="J36" s="35" t="e">
        <f t="shared" si="8"/>
        <v>#N/A</v>
      </c>
      <c r="K36" s="36" t="e">
        <f t="shared" si="9"/>
        <v>#N/A</v>
      </c>
      <c r="L36" s="38" t="e">
        <f t="shared" si="10"/>
        <v>#N/A</v>
      </c>
      <c r="M36" s="35" t="e">
        <f>SUM($J$5:J36)</f>
        <v>#N/A</v>
      </c>
      <c r="N36" s="35" t="e">
        <f>SUM($K$5:K36)</f>
        <v>#N/A</v>
      </c>
      <c r="O36" s="38" t="e">
        <f t="shared" si="11"/>
        <v>#N/A</v>
      </c>
      <c r="P36" s="43">
        <f t="shared" si="13"/>
        <v>-1.0201997301529813</v>
      </c>
      <c r="Q36" s="44">
        <f t="shared" si="14"/>
        <v>-1.0752090693351626</v>
      </c>
      <c r="R36" s="45">
        <f t="shared" si="15"/>
        <v>0.14114056794042334</v>
      </c>
      <c r="U36" s="7"/>
      <c r="V36" s="16"/>
      <c r="W36" s="48"/>
      <c r="X36" s="6"/>
    </row>
    <row r="37" spans="4:24" x14ac:dyDescent="0.25">
      <c r="D37" s="4" t="e">
        <f t="shared" si="6"/>
        <v>#N/A</v>
      </c>
      <c r="E37" s="10" t="e">
        <f t="shared" si="7"/>
        <v>#N/A</v>
      </c>
      <c r="F37" s="30" t="e">
        <f t="shared" si="4"/>
        <v>#N/A</v>
      </c>
      <c r="G37" s="29" t="e" cm="1">
        <f t="array" ref="G37">IF(D37=0, MAX(0, E37-$B$4),GBlackScholes("c",E37,$B$4,D37/365,$B$5,$B$5,F37))</f>
        <v>#N/A</v>
      </c>
      <c r="H37" s="30" t="e">
        <f t="shared" si="12"/>
        <v>#N/A</v>
      </c>
      <c r="I37" s="33" t="e">
        <f t="shared" si="5"/>
        <v>#N/A</v>
      </c>
      <c r="J37" s="35" t="e">
        <f t="shared" si="8"/>
        <v>#N/A</v>
      </c>
      <c r="K37" s="36" t="e">
        <f t="shared" si="9"/>
        <v>#N/A</v>
      </c>
      <c r="L37" s="38" t="e">
        <f t="shared" si="10"/>
        <v>#N/A</v>
      </c>
      <c r="M37" s="35" t="e">
        <f>SUM($J$5:J37)</f>
        <v>#N/A</v>
      </c>
      <c r="N37" s="35" t="e">
        <f>SUM($K$5:K37)</f>
        <v>#N/A</v>
      </c>
      <c r="O37" s="38" t="e">
        <f t="shared" si="11"/>
        <v>#N/A</v>
      </c>
      <c r="P37" s="43">
        <f t="shared" si="13"/>
        <v>-1.0453809198888206</v>
      </c>
      <c r="Q37" s="44">
        <f t="shared" si="14"/>
        <v>-1.0945827686123006</v>
      </c>
      <c r="R37" s="45">
        <f t="shared" si="15"/>
        <v>0.13684973404136214</v>
      </c>
      <c r="U37" s="7"/>
      <c r="V37" s="16"/>
      <c r="W37" s="16"/>
      <c r="X37" s="6"/>
    </row>
    <row r="38" spans="4:24" x14ac:dyDescent="0.25">
      <c r="D38" s="4" t="e">
        <f t="shared" si="6"/>
        <v>#N/A</v>
      </c>
      <c r="E38" s="10" t="e">
        <f t="shared" si="7"/>
        <v>#N/A</v>
      </c>
      <c r="F38" s="30" t="e">
        <f t="shared" si="4"/>
        <v>#N/A</v>
      </c>
      <c r="G38" s="29" t="e" cm="1">
        <f t="array" ref="G38">IF(D38=0, MAX(0, E38-$B$4),GBlackScholes("c",E38,$B$4,D38/365,$B$5,$B$5,F38))</f>
        <v>#N/A</v>
      </c>
      <c r="H38" s="30" t="e">
        <f t="shared" si="12"/>
        <v>#N/A</v>
      </c>
      <c r="I38" s="33" t="e">
        <f t="shared" si="5"/>
        <v>#N/A</v>
      </c>
      <c r="J38" s="35" t="e">
        <f t="shared" si="8"/>
        <v>#N/A</v>
      </c>
      <c r="K38" s="36" t="e">
        <f t="shared" si="9"/>
        <v>#N/A</v>
      </c>
      <c r="L38" s="38" t="e">
        <f t="shared" si="10"/>
        <v>#N/A</v>
      </c>
      <c r="M38" s="35" t="e">
        <f>SUM($J$5:J38)</f>
        <v>#N/A</v>
      </c>
      <c r="N38" s="35" t="e">
        <f>SUM($K$5:K38)</f>
        <v>#N/A</v>
      </c>
      <c r="O38" s="38" t="e">
        <f t="shared" si="11"/>
        <v>#N/A</v>
      </c>
      <c r="P38" s="43">
        <f t="shared" si="13"/>
        <v>-1.0971999407524826</v>
      </c>
      <c r="Q38" s="44">
        <f t="shared" si="14"/>
        <v>-1.1398099916601754</v>
      </c>
      <c r="R38" s="45">
        <f t="shared" si="15"/>
        <v>0.12718273506695468</v>
      </c>
      <c r="U38" s="7"/>
      <c r="V38" s="16"/>
      <c r="W38" s="16"/>
      <c r="X38" s="6"/>
    </row>
    <row r="39" spans="4:24" x14ac:dyDescent="0.25">
      <c r="D39" s="4" t="e">
        <f t="shared" si="6"/>
        <v>#N/A</v>
      </c>
      <c r="E39" s="10" t="e">
        <f t="shared" si="7"/>
        <v>#N/A</v>
      </c>
      <c r="F39" s="30" t="e">
        <f t="shared" si="4"/>
        <v>#N/A</v>
      </c>
      <c r="G39" s="29" t="e" cm="1">
        <f t="array" ref="G39">IF(D39=0, MAX(0, E39-$B$4),GBlackScholes("c",E39,$B$4,D39/365,$B$5,$B$5,F39))</f>
        <v>#N/A</v>
      </c>
      <c r="H39" s="30" t="e">
        <f t="shared" si="12"/>
        <v>#N/A</v>
      </c>
      <c r="I39" s="33" t="e">
        <f t="shared" si="5"/>
        <v>#N/A</v>
      </c>
      <c r="J39" s="35" t="e">
        <f t="shared" si="8"/>
        <v>#N/A</v>
      </c>
      <c r="K39" s="36" t="e">
        <f t="shared" si="9"/>
        <v>#N/A</v>
      </c>
      <c r="L39" s="38" t="e">
        <f t="shared" si="10"/>
        <v>#N/A</v>
      </c>
      <c r="M39" s="35" t="e">
        <f>SUM($J$5:J39)</f>
        <v>#N/A</v>
      </c>
      <c r="N39" s="35" t="e">
        <f>SUM($K$5:K39)</f>
        <v>#N/A</v>
      </c>
      <c r="O39" s="38" t="e">
        <f t="shared" si="11"/>
        <v>#N/A</v>
      </c>
      <c r="P39" s="43">
        <f t="shared" si="13"/>
        <v>-1.209024109603146</v>
      </c>
      <c r="Q39" s="44">
        <f t="shared" si="14"/>
        <v>-1.2438150704824333</v>
      </c>
      <c r="R39" s="45">
        <f t="shared" si="15"/>
        <v>0.106783816255134</v>
      </c>
      <c r="U39" s="7"/>
      <c r="V39" s="16"/>
      <c r="W39" s="16"/>
      <c r="X39" s="6"/>
    </row>
    <row r="40" spans="4:24" x14ac:dyDescent="0.25">
      <c r="D40" s="4" t="e">
        <f t="shared" si="6"/>
        <v>#N/A</v>
      </c>
      <c r="E40" s="10" t="e">
        <f t="shared" si="7"/>
        <v>#N/A</v>
      </c>
      <c r="F40" s="30" t="e">
        <f t="shared" si="4"/>
        <v>#N/A</v>
      </c>
      <c r="G40" s="29" t="e" cm="1">
        <f t="array" ref="G40">IF(D40=0, MAX(0, E40-$B$4),GBlackScholes("c",E40,$B$4,D40/365,$B$5,$B$5,F40))</f>
        <v>#N/A</v>
      </c>
      <c r="H40" s="30" t="e">
        <f t="shared" si="12"/>
        <v>#N/A</v>
      </c>
      <c r="I40" s="33" t="e">
        <f t="shared" si="5"/>
        <v>#N/A</v>
      </c>
      <c r="J40" s="35" t="e">
        <f t="shared" si="8"/>
        <v>#N/A</v>
      </c>
      <c r="K40" s="36" t="e">
        <f t="shared" si="9"/>
        <v>#N/A</v>
      </c>
      <c r="L40" s="38" t="e">
        <f t="shared" si="10"/>
        <v>#N/A</v>
      </c>
      <c r="M40" s="35" t="e">
        <f>SUM($J$5:J40)</f>
        <v>#N/A</v>
      </c>
      <c r="N40" s="35" t="e">
        <f>SUM($K$5:K40)</f>
        <v>#N/A</v>
      </c>
      <c r="O40" s="38" t="e">
        <f t="shared" si="11"/>
        <v>#N/A</v>
      </c>
      <c r="P40" s="43">
        <f t="shared" si="13"/>
        <v>-1.519534673483032</v>
      </c>
      <c r="Q40" s="44">
        <f t="shared" si="14"/>
        <v>-1.5441355978447719</v>
      </c>
      <c r="R40" s="45">
        <f t="shared" si="15"/>
        <v>6.1277743319207052E-2</v>
      </c>
      <c r="U40" s="7"/>
      <c r="V40" s="16"/>
      <c r="W40" s="16"/>
      <c r="X40" s="6"/>
    </row>
    <row r="41" spans="4:24" x14ac:dyDescent="0.25">
      <c r="D41" s="4" t="e">
        <f t="shared" si="6"/>
        <v>#N/A</v>
      </c>
      <c r="E41" s="10" t="e">
        <f t="shared" si="7"/>
        <v>#N/A</v>
      </c>
      <c r="F41" s="30" t="e">
        <f t="shared" si="4"/>
        <v>#N/A</v>
      </c>
      <c r="G41" s="29" t="e" cm="1">
        <f t="array" ref="G41">IF(D41=0, MAX(0, E41-$B$4),GBlackScholes("c",E41,$B$4,D41/365,$B$5,$B$5,F41))</f>
        <v>#N/A</v>
      </c>
      <c r="H41" s="30" t="e">
        <f t="shared" si="12"/>
        <v>#N/A</v>
      </c>
      <c r="I41" s="33" t="e">
        <f t="shared" si="5"/>
        <v>#N/A</v>
      </c>
      <c r="J41" s="35" t="e">
        <f t="shared" si="8"/>
        <v>#N/A</v>
      </c>
      <c r="K41" s="36" t="e">
        <f t="shared" si="9"/>
        <v>#N/A</v>
      </c>
      <c r="L41" s="38" t="e">
        <f t="shared" si="10"/>
        <v>#N/A</v>
      </c>
      <c r="M41" s="35" t="e">
        <f>SUM($J$5:J41)</f>
        <v>#N/A</v>
      </c>
      <c r="N41" s="35" t="e">
        <f>SUM($K$5:K41)</f>
        <v>#N/A</v>
      </c>
      <c r="O41" s="38" t="e">
        <f t="shared" si="11"/>
        <v>#N/A</v>
      </c>
      <c r="P41" s="43" t="e">
        <f t="shared" si="13"/>
        <v>#N/A</v>
      </c>
      <c r="Q41" s="44" t="e">
        <f t="shared" si="14"/>
        <v>#N/A</v>
      </c>
      <c r="R41" s="45" t="e">
        <f t="shared" si="15"/>
        <v>#N/A</v>
      </c>
      <c r="U41" s="7"/>
      <c r="V41" s="16"/>
      <c r="W41" s="16"/>
      <c r="X41" s="6"/>
    </row>
    <row r="42" spans="4:24" x14ac:dyDescent="0.25">
      <c r="D42" s="4" t="e">
        <f t="shared" si="6"/>
        <v>#N/A</v>
      </c>
      <c r="E42" s="10" t="e">
        <f t="shared" si="7"/>
        <v>#N/A</v>
      </c>
      <c r="F42" s="30" t="e">
        <f t="shared" si="4"/>
        <v>#N/A</v>
      </c>
      <c r="G42" s="29" t="e" cm="1">
        <f t="array" ref="G42">IF(D42=0, MAX(0, E42-$B$4),GBlackScholes("c",E42,$B$4,D42/365,$B$5,$B$5,F42))</f>
        <v>#N/A</v>
      </c>
      <c r="H42" s="30" t="e">
        <f t="shared" si="12"/>
        <v>#N/A</v>
      </c>
      <c r="I42" s="33" t="e">
        <f t="shared" si="5"/>
        <v>#N/A</v>
      </c>
      <c r="J42" s="35" t="e">
        <f t="shared" si="8"/>
        <v>#N/A</v>
      </c>
      <c r="K42" s="36" t="e">
        <f t="shared" si="9"/>
        <v>#N/A</v>
      </c>
      <c r="L42" s="38" t="e">
        <f t="shared" si="10"/>
        <v>#N/A</v>
      </c>
      <c r="M42" s="35" t="e">
        <f>SUM($J$5:J42)</f>
        <v>#N/A</v>
      </c>
      <c r="N42" s="35" t="e">
        <f>SUM($K$5:K42)</f>
        <v>#N/A</v>
      </c>
      <c r="O42" s="38" t="e">
        <f t="shared" si="11"/>
        <v>#N/A</v>
      </c>
      <c r="P42" s="43" t="e">
        <f t="shared" si="13"/>
        <v>#N/A</v>
      </c>
      <c r="Q42" s="44" t="e">
        <f t="shared" si="14"/>
        <v>#N/A</v>
      </c>
      <c r="R42" s="45" t="e">
        <f t="shared" si="15"/>
        <v>#N/A</v>
      </c>
      <c r="U42" s="7"/>
      <c r="V42" s="16"/>
      <c r="W42" s="16"/>
      <c r="X42" s="6"/>
    </row>
    <row r="43" spans="4:24" x14ac:dyDescent="0.25">
      <c r="D43" s="4" t="e">
        <f t="shared" si="6"/>
        <v>#N/A</v>
      </c>
      <c r="E43" s="10" t="e">
        <f t="shared" si="7"/>
        <v>#N/A</v>
      </c>
      <c r="F43" s="30" t="e">
        <f t="shared" si="4"/>
        <v>#N/A</v>
      </c>
      <c r="G43" s="29" t="e" cm="1">
        <f t="array" ref="G43">IF(D43=0, MAX(0, E43-$B$4),GBlackScholes("c",E43,$B$4,D43/365,$B$5,$B$5,F43))</f>
        <v>#N/A</v>
      </c>
      <c r="H43" s="30" t="e">
        <f t="shared" si="12"/>
        <v>#N/A</v>
      </c>
      <c r="I43" s="33" t="e">
        <f t="shared" si="5"/>
        <v>#N/A</v>
      </c>
      <c r="J43" s="35" t="e">
        <f t="shared" si="8"/>
        <v>#N/A</v>
      </c>
      <c r="K43" s="36" t="e">
        <f t="shared" si="9"/>
        <v>#N/A</v>
      </c>
      <c r="L43" s="38" t="e">
        <f t="shared" si="10"/>
        <v>#N/A</v>
      </c>
      <c r="M43" s="35" t="e">
        <f>SUM($J$5:J43)</f>
        <v>#N/A</v>
      </c>
      <c r="N43" s="35" t="e">
        <f>SUM($K$5:K43)</f>
        <v>#N/A</v>
      </c>
      <c r="O43" s="38" t="e">
        <f t="shared" si="11"/>
        <v>#N/A</v>
      </c>
      <c r="P43" s="43" t="e">
        <f t="shared" si="13"/>
        <v>#N/A</v>
      </c>
      <c r="Q43" s="44" t="e">
        <f t="shared" si="14"/>
        <v>#N/A</v>
      </c>
      <c r="R43" s="45" t="e">
        <f t="shared" si="15"/>
        <v>#N/A</v>
      </c>
      <c r="U43" s="7"/>
      <c r="V43" s="16"/>
      <c r="W43" s="16"/>
      <c r="X43" s="6"/>
    </row>
    <row r="44" spans="4:24" x14ac:dyDescent="0.25">
      <c r="D44" s="4" t="e">
        <f t="shared" si="6"/>
        <v>#N/A</v>
      </c>
      <c r="E44" s="10" t="e">
        <f t="shared" si="7"/>
        <v>#N/A</v>
      </c>
      <c r="F44" s="30" t="e">
        <f t="shared" si="4"/>
        <v>#N/A</v>
      </c>
      <c r="G44" s="29" t="e" cm="1">
        <f t="array" ref="G44">IF(D44=0, MAX(0, E44-$B$4),GBlackScholes("c",E44,$B$4,D44/365,$B$5,$B$5,F44))</f>
        <v>#N/A</v>
      </c>
      <c r="H44" s="30" t="e">
        <f t="shared" si="12"/>
        <v>#N/A</v>
      </c>
      <c r="I44" s="33" t="e">
        <f t="shared" si="5"/>
        <v>#N/A</v>
      </c>
      <c r="J44" s="35" t="e">
        <f t="shared" si="8"/>
        <v>#N/A</v>
      </c>
      <c r="K44" s="36" t="e">
        <f t="shared" si="9"/>
        <v>#N/A</v>
      </c>
      <c r="L44" s="38" t="e">
        <f t="shared" si="10"/>
        <v>#N/A</v>
      </c>
      <c r="M44" s="35" t="e">
        <f>SUM($J$5:J44)</f>
        <v>#N/A</v>
      </c>
      <c r="N44" s="35" t="e">
        <f>SUM($K$5:K44)</f>
        <v>#N/A</v>
      </c>
      <c r="O44" s="38" t="e">
        <f t="shared" si="11"/>
        <v>#N/A</v>
      </c>
      <c r="P44" s="43" t="e">
        <f t="shared" si="13"/>
        <v>#N/A</v>
      </c>
      <c r="Q44" s="44" t="e">
        <f t="shared" si="14"/>
        <v>#N/A</v>
      </c>
      <c r="R44" s="45" t="e">
        <f t="shared" si="15"/>
        <v>#N/A</v>
      </c>
      <c r="U44" s="7"/>
      <c r="V44" s="16"/>
      <c r="W44" s="16"/>
      <c r="X44" s="6"/>
    </row>
    <row r="45" spans="4:24" x14ac:dyDescent="0.25">
      <c r="D45" s="4" t="e">
        <f t="shared" si="6"/>
        <v>#N/A</v>
      </c>
      <c r="E45" s="10" t="e">
        <f t="shared" si="7"/>
        <v>#N/A</v>
      </c>
      <c r="F45" s="30" t="e">
        <f t="shared" si="4"/>
        <v>#N/A</v>
      </c>
      <c r="G45" s="29" t="e" cm="1">
        <f t="array" ref="G45">IF(D45=0, MAX(0, E45-$B$4),GBlackScholes("c",E45,$B$4,D45/365,$B$5,$B$5,F45))</f>
        <v>#N/A</v>
      </c>
      <c r="H45" s="30" t="e">
        <f t="shared" si="12"/>
        <v>#N/A</v>
      </c>
      <c r="I45" s="33" t="e">
        <f t="shared" si="5"/>
        <v>#N/A</v>
      </c>
      <c r="J45" s="35" t="e">
        <f t="shared" si="8"/>
        <v>#N/A</v>
      </c>
      <c r="K45" s="36" t="e">
        <f t="shared" si="9"/>
        <v>#N/A</v>
      </c>
      <c r="L45" s="38" t="e">
        <f t="shared" si="10"/>
        <v>#N/A</v>
      </c>
      <c r="M45" s="35" t="e">
        <f>SUM($J$5:J45)</f>
        <v>#N/A</v>
      </c>
      <c r="N45" s="35" t="e">
        <f>SUM($K$5:K45)</f>
        <v>#N/A</v>
      </c>
      <c r="O45" s="38" t="e">
        <f t="shared" si="11"/>
        <v>#N/A</v>
      </c>
      <c r="P45" s="43" t="e">
        <f t="shared" si="13"/>
        <v>#N/A</v>
      </c>
      <c r="Q45" s="44" t="e">
        <f t="shared" si="14"/>
        <v>#N/A</v>
      </c>
      <c r="R45" s="45" t="e">
        <f t="shared" si="15"/>
        <v>#N/A</v>
      </c>
      <c r="U45" s="7"/>
      <c r="V45" s="16"/>
      <c r="W45" s="16"/>
      <c r="X45" s="6"/>
    </row>
    <row r="46" spans="4:24" x14ac:dyDescent="0.25">
      <c r="D46" s="4" t="e">
        <f t="shared" si="6"/>
        <v>#N/A</v>
      </c>
      <c r="E46" s="10" t="e">
        <f t="shared" si="7"/>
        <v>#N/A</v>
      </c>
      <c r="F46" s="30" t="e">
        <f t="shared" si="4"/>
        <v>#N/A</v>
      </c>
      <c r="G46" s="29" t="e" cm="1">
        <f t="array" ref="G46">IF(D46=0, MAX(0, E46-$B$4),GBlackScholes("c",E46,$B$4,D46/365,$B$5,$B$5,F46))</f>
        <v>#N/A</v>
      </c>
      <c r="H46" s="30" t="e">
        <f t="shared" si="12"/>
        <v>#N/A</v>
      </c>
      <c r="I46" s="33" t="e">
        <f t="shared" si="5"/>
        <v>#N/A</v>
      </c>
      <c r="J46" s="35" t="e">
        <f t="shared" si="8"/>
        <v>#N/A</v>
      </c>
      <c r="K46" s="36" t="e">
        <f t="shared" si="9"/>
        <v>#N/A</v>
      </c>
      <c r="L46" s="38" t="e">
        <f t="shared" si="10"/>
        <v>#N/A</v>
      </c>
      <c r="M46" s="35" t="e">
        <f>SUM($J$5:J46)</f>
        <v>#N/A</v>
      </c>
      <c r="N46" s="35" t="e">
        <f>SUM($K$5:K46)</f>
        <v>#N/A</v>
      </c>
      <c r="O46" s="38" t="e">
        <f t="shared" si="11"/>
        <v>#N/A</v>
      </c>
      <c r="P46" s="43" t="e">
        <f t="shared" si="13"/>
        <v>#N/A</v>
      </c>
      <c r="Q46" s="44" t="e">
        <f t="shared" si="14"/>
        <v>#N/A</v>
      </c>
      <c r="R46" s="45" t="e">
        <f t="shared" si="15"/>
        <v>#N/A</v>
      </c>
      <c r="U46" s="7"/>
      <c r="V46" s="16"/>
      <c r="W46" s="16"/>
      <c r="X46" s="6"/>
    </row>
    <row r="47" spans="4:24" x14ac:dyDescent="0.25">
      <c r="D47" s="4" t="e">
        <f t="shared" si="6"/>
        <v>#N/A</v>
      </c>
      <c r="E47" s="10" t="e">
        <f t="shared" si="7"/>
        <v>#N/A</v>
      </c>
      <c r="F47" s="30" t="e">
        <f t="shared" si="4"/>
        <v>#N/A</v>
      </c>
      <c r="G47" s="29" t="e" cm="1">
        <f t="array" ref="G47">IF(D47=0, MAX(0, E47-$B$4),GBlackScholes("c",E47,$B$4,D47/365,$B$5,$B$5,F47))</f>
        <v>#N/A</v>
      </c>
      <c r="H47" s="30" t="e">
        <f t="shared" si="12"/>
        <v>#N/A</v>
      </c>
      <c r="I47" s="33" t="e">
        <f t="shared" si="5"/>
        <v>#N/A</v>
      </c>
      <c r="J47" s="35" t="e">
        <f t="shared" si="8"/>
        <v>#N/A</v>
      </c>
      <c r="K47" s="36" t="e">
        <f t="shared" si="9"/>
        <v>#N/A</v>
      </c>
      <c r="L47" s="38" t="e">
        <f t="shared" si="10"/>
        <v>#N/A</v>
      </c>
      <c r="M47" s="35" t="e">
        <f>SUM($J$5:J47)</f>
        <v>#N/A</v>
      </c>
      <c r="N47" s="35" t="e">
        <f>SUM($K$5:K47)</f>
        <v>#N/A</v>
      </c>
      <c r="O47" s="38" t="e">
        <f t="shared" si="11"/>
        <v>#N/A</v>
      </c>
      <c r="P47" s="43" t="e">
        <f t="shared" si="13"/>
        <v>#N/A</v>
      </c>
      <c r="Q47" s="44" t="e">
        <f t="shared" si="14"/>
        <v>#N/A</v>
      </c>
      <c r="R47" s="45" t="e">
        <f t="shared" si="15"/>
        <v>#N/A</v>
      </c>
      <c r="U47" s="7"/>
      <c r="V47" s="16"/>
      <c r="W47" s="16"/>
      <c r="X47" s="6"/>
    </row>
    <row r="48" spans="4:24" x14ac:dyDescent="0.25">
      <c r="D48" s="4" t="e">
        <f t="shared" si="6"/>
        <v>#N/A</v>
      </c>
      <c r="E48" s="10" t="e">
        <f t="shared" si="7"/>
        <v>#N/A</v>
      </c>
      <c r="F48" s="30" t="e">
        <f t="shared" si="4"/>
        <v>#N/A</v>
      </c>
      <c r="G48" s="29" t="e" cm="1">
        <f t="array" ref="G48">IF(D48=0, MAX(0, E48-$B$4),GBlackScholes("c",E48,$B$4,D48/365,$B$5,$B$5,F48))</f>
        <v>#N/A</v>
      </c>
      <c r="H48" s="30" t="e">
        <f t="shared" si="12"/>
        <v>#N/A</v>
      </c>
      <c r="I48" s="33" t="e">
        <f t="shared" si="5"/>
        <v>#N/A</v>
      </c>
      <c r="J48" s="35" t="e">
        <f t="shared" si="8"/>
        <v>#N/A</v>
      </c>
      <c r="K48" s="36" t="e">
        <f t="shared" si="9"/>
        <v>#N/A</v>
      </c>
      <c r="L48" s="38" t="e">
        <f t="shared" si="10"/>
        <v>#N/A</v>
      </c>
      <c r="M48" s="35" t="e">
        <f>SUM($J$5:J48)</f>
        <v>#N/A</v>
      </c>
      <c r="N48" s="35" t="e">
        <f>SUM($K$5:K48)</f>
        <v>#N/A</v>
      </c>
      <c r="O48" s="38" t="e">
        <f t="shared" si="11"/>
        <v>#N/A</v>
      </c>
      <c r="P48" s="43" t="e">
        <f t="shared" si="13"/>
        <v>#N/A</v>
      </c>
      <c r="Q48" s="44" t="e">
        <f t="shared" si="14"/>
        <v>#N/A</v>
      </c>
      <c r="R48" s="45" t="e">
        <f t="shared" si="15"/>
        <v>#N/A</v>
      </c>
      <c r="U48" s="7"/>
      <c r="V48" s="16"/>
      <c r="W48" s="16"/>
      <c r="X48" s="6"/>
    </row>
    <row r="49" spans="4:24" x14ac:dyDescent="0.25">
      <c r="D49" s="4" t="e">
        <f t="shared" si="6"/>
        <v>#N/A</v>
      </c>
      <c r="E49" s="10" t="e">
        <f t="shared" si="7"/>
        <v>#N/A</v>
      </c>
      <c r="F49" s="30" t="e">
        <f t="shared" si="4"/>
        <v>#N/A</v>
      </c>
      <c r="G49" s="29" t="e" cm="1">
        <f t="array" ref="G49">IF(D49=0, MAX(0, E49-$B$4),GBlackScholes("c",E49,$B$4,D49/365,$B$5,$B$5,F49))</f>
        <v>#N/A</v>
      </c>
      <c r="H49" s="30" t="e">
        <f t="shared" si="12"/>
        <v>#N/A</v>
      </c>
      <c r="I49" s="33" t="e">
        <f t="shared" si="5"/>
        <v>#N/A</v>
      </c>
      <c r="J49" s="35" t="e">
        <f t="shared" si="8"/>
        <v>#N/A</v>
      </c>
      <c r="K49" s="36" t="e">
        <f t="shared" si="9"/>
        <v>#N/A</v>
      </c>
      <c r="L49" s="38" t="e">
        <f t="shared" si="10"/>
        <v>#N/A</v>
      </c>
      <c r="M49" s="35" t="e">
        <f>SUM($J$5:J49)</f>
        <v>#N/A</v>
      </c>
      <c r="N49" s="35" t="e">
        <f>SUM($K$5:K49)</f>
        <v>#N/A</v>
      </c>
      <c r="O49" s="38" t="e">
        <f t="shared" si="11"/>
        <v>#N/A</v>
      </c>
      <c r="P49" s="43" t="e">
        <f t="shared" si="13"/>
        <v>#N/A</v>
      </c>
      <c r="Q49" s="44" t="e">
        <f t="shared" si="14"/>
        <v>#N/A</v>
      </c>
      <c r="R49" s="45" t="e">
        <f t="shared" si="15"/>
        <v>#N/A</v>
      </c>
      <c r="U49" s="7"/>
      <c r="V49" s="16"/>
      <c r="W49" s="16"/>
      <c r="X49" s="6"/>
    </row>
    <row r="50" spans="4:24" x14ac:dyDescent="0.25">
      <c r="D50" s="4" t="e">
        <f t="shared" si="6"/>
        <v>#N/A</v>
      </c>
      <c r="E50" s="10" t="e">
        <f t="shared" si="7"/>
        <v>#N/A</v>
      </c>
      <c r="F50" s="30" t="e">
        <f t="shared" si="4"/>
        <v>#N/A</v>
      </c>
      <c r="G50" s="29" t="e" cm="1">
        <f t="array" ref="G50">IF(D50=0, MAX(0, E50-$B$4),GBlackScholes("c",E50,$B$4,D50/365,$B$5,$B$5,F50))</f>
        <v>#N/A</v>
      </c>
      <c r="H50" s="30" t="e">
        <f t="shared" si="12"/>
        <v>#N/A</v>
      </c>
      <c r="I50" s="33" t="e">
        <f t="shared" si="5"/>
        <v>#N/A</v>
      </c>
      <c r="J50" s="35" t="e">
        <f t="shared" si="8"/>
        <v>#N/A</v>
      </c>
      <c r="K50" s="36" t="e">
        <f t="shared" si="9"/>
        <v>#N/A</v>
      </c>
      <c r="L50" s="38" t="e">
        <f t="shared" si="10"/>
        <v>#N/A</v>
      </c>
      <c r="M50" s="35" t="e">
        <f>SUM($J$5:J50)</f>
        <v>#N/A</v>
      </c>
      <c r="N50" s="35" t="e">
        <f>SUM($K$5:K50)</f>
        <v>#N/A</v>
      </c>
      <c r="O50" s="38" t="e">
        <f t="shared" si="11"/>
        <v>#N/A</v>
      </c>
      <c r="P50" s="43" t="e">
        <f t="shared" si="13"/>
        <v>#N/A</v>
      </c>
      <c r="Q50" s="44" t="e">
        <f t="shared" si="14"/>
        <v>#N/A</v>
      </c>
      <c r="R50" s="45" t="e">
        <f t="shared" si="15"/>
        <v>#N/A</v>
      </c>
      <c r="U50" s="7"/>
      <c r="V50" s="16"/>
      <c r="W50" s="16"/>
      <c r="X50" s="6"/>
    </row>
    <row r="51" spans="4:24" x14ac:dyDescent="0.25">
      <c r="D51" s="4" t="e">
        <f t="shared" si="6"/>
        <v>#N/A</v>
      </c>
      <c r="E51" s="10" t="e">
        <f t="shared" si="7"/>
        <v>#N/A</v>
      </c>
      <c r="F51" s="30" t="e">
        <f t="shared" si="4"/>
        <v>#N/A</v>
      </c>
      <c r="G51" s="29" t="e" cm="1">
        <f t="array" ref="G51">IF(D51=0, MAX(0, E51-$B$4),GBlackScholes("c",E51,$B$4,D51/365,$B$5,$B$5,F51))</f>
        <v>#N/A</v>
      </c>
      <c r="H51" s="30" t="e">
        <f t="shared" si="12"/>
        <v>#N/A</v>
      </c>
      <c r="I51" s="33" t="e">
        <f t="shared" si="5"/>
        <v>#N/A</v>
      </c>
      <c r="J51" s="35" t="e">
        <f t="shared" si="8"/>
        <v>#N/A</v>
      </c>
      <c r="K51" s="36" t="e">
        <f t="shared" si="9"/>
        <v>#N/A</v>
      </c>
      <c r="L51" s="38" t="e">
        <f t="shared" si="10"/>
        <v>#N/A</v>
      </c>
      <c r="M51" s="35" t="e">
        <f>SUM($J$5:J51)</f>
        <v>#N/A</v>
      </c>
      <c r="N51" s="35" t="e">
        <f>SUM($K$5:K51)</f>
        <v>#N/A</v>
      </c>
      <c r="O51" s="38" t="e">
        <f t="shared" si="11"/>
        <v>#N/A</v>
      </c>
      <c r="P51" s="43" t="e">
        <f t="shared" si="13"/>
        <v>#N/A</v>
      </c>
      <c r="Q51" s="44" t="e">
        <f t="shared" si="14"/>
        <v>#N/A</v>
      </c>
      <c r="R51" s="45" t="e">
        <f t="shared" si="15"/>
        <v>#N/A</v>
      </c>
      <c r="U51" s="7"/>
      <c r="V51" s="16"/>
      <c r="W51" s="16"/>
      <c r="X51" s="6"/>
    </row>
    <row r="52" spans="4:24" x14ac:dyDescent="0.25">
      <c r="D52" s="4" t="e">
        <f t="shared" si="6"/>
        <v>#N/A</v>
      </c>
      <c r="E52" s="10" t="e">
        <f t="shared" si="7"/>
        <v>#N/A</v>
      </c>
      <c r="F52" s="30" t="e">
        <f t="shared" si="4"/>
        <v>#N/A</v>
      </c>
      <c r="G52" s="29" t="e" cm="1">
        <f t="array" ref="G52">IF(D52=0, MAX(0, E52-$B$4),GBlackScholes("c",E52,$B$4,D52/365,$B$5,$B$5,F52))</f>
        <v>#N/A</v>
      </c>
      <c r="H52" s="30" t="e">
        <f t="shared" si="12"/>
        <v>#N/A</v>
      </c>
      <c r="I52" s="33" t="e">
        <f t="shared" si="5"/>
        <v>#N/A</v>
      </c>
      <c r="J52" s="35" t="e">
        <f t="shared" si="8"/>
        <v>#N/A</v>
      </c>
      <c r="K52" s="36" t="e">
        <f t="shared" si="9"/>
        <v>#N/A</v>
      </c>
      <c r="L52" s="38" t="e">
        <f t="shared" si="10"/>
        <v>#N/A</v>
      </c>
      <c r="M52" s="35" t="e">
        <f>SUM($J$5:J52)</f>
        <v>#N/A</v>
      </c>
      <c r="N52" s="35" t="e">
        <f>SUM($K$5:K52)</f>
        <v>#N/A</v>
      </c>
      <c r="O52" s="38" t="e">
        <f t="shared" si="11"/>
        <v>#N/A</v>
      </c>
      <c r="P52" s="43" t="e">
        <f t="shared" si="13"/>
        <v>#N/A</v>
      </c>
      <c r="Q52" s="44" t="e">
        <f t="shared" si="14"/>
        <v>#N/A</v>
      </c>
      <c r="R52" s="45" t="e">
        <f t="shared" si="15"/>
        <v>#N/A</v>
      </c>
      <c r="U52" s="7"/>
      <c r="V52" s="16"/>
      <c r="W52" s="16"/>
      <c r="X52" s="6"/>
    </row>
    <row r="53" spans="4:24" x14ac:dyDescent="0.25">
      <c r="D53" s="4" t="e">
        <f t="shared" si="6"/>
        <v>#N/A</v>
      </c>
      <c r="E53" s="10" t="e">
        <f t="shared" si="7"/>
        <v>#N/A</v>
      </c>
      <c r="F53" s="30" t="e">
        <f t="shared" si="4"/>
        <v>#N/A</v>
      </c>
      <c r="G53" s="29" t="e" cm="1">
        <f t="array" ref="G53">IF(D53=0, MAX(0, E53-$B$4),GBlackScholes("c",E53,$B$4,D53/365,$B$5,$B$5,F53))</f>
        <v>#N/A</v>
      </c>
      <c r="H53" s="30" t="e">
        <f t="shared" si="12"/>
        <v>#N/A</v>
      </c>
      <c r="I53" s="33" t="e">
        <f t="shared" si="5"/>
        <v>#N/A</v>
      </c>
      <c r="J53" s="35" t="e">
        <f t="shared" si="8"/>
        <v>#N/A</v>
      </c>
      <c r="K53" s="36" t="e">
        <f t="shared" si="9"/>
        <v>#N/A</v>
      </c>
      <c r="L53" s="38" t="e">
        <f t="shared" si="10"/>
        <v>#N/A</v>
      </c>
      <c r="M53" s="35" t="e">
        <f>SUM($J$5:J53)</f>
        <v>#N/A</v>
      </c>
      <c r="N53" s="35" t="e">
        <f>SUM($K$5:K53)</f>
        <v>#N/A</v>
      </c>
      <c r="O53" s="38" t="e">
        <f t="shared" si="11"/>
        <v>#N/A</v>
      </c>
      <c r="P53" s="43" t="e">
        <f t="shared" si="13"/>
        <v>#N/A</v>
      </c>
      <c r="Q53" s="44" t="e">
        <f t="shared" si="14"/>
        <v>#N/A</v>
      </c>
      <c r="R53" s="45" t="e">
        <f t="shared" si="15"/>
        <v>#N/A</v>
      </c>
      <c r="U53" s="7"/>
      <c r="V53" s="16"/>
      <c r="W53" s="16"/>
      <c r="X53" s="6"/>
    </row>
    <row r="54" spans="4:24" x14ac:dyDescent="0.25">
      <c r="D54" s="4" t="e">
        <f t="shared" si="6"/>
        <v>#N/A</v>
      </c>
      <c r="E54" s="10" t="e">
        <f t="shared" si="7"/>
        <v>#N/A</v>
      </c>
      <c r="F54" s="30" t="e">
        <f t="shared" si="4"/>
        <v>#N/A</v>
      </c>
      <c r="G54" s="29" t="e" cm="1">
        <f t="array" ref="G54">IF(D54=0, MAX(0, E54-$B$4),GBlackScholes("c",E54,$B$4,D54/365,$B$5,$B$5,F54))</f>
        <v>#N/A</v>
      </c>
      <c r="H54" s="30" t="e">
        <f t="shared" si="12"/>
        <v>#N/A</v>
      </c>
      <c r="I54" s="33" t="e">
        <f t="shared" si="5"/>
        <v>#N/A</v>
      </c>
      <c r="J54" s="35" t="e">
        <f t="shared" si="8"/>
        <v>#N/A</v>
      </c>
      <c r="K54" s="36" t="e">
        <f t="shared" si="9"/>
        <v>#N/A</v>
      </c>
      <c r="L54" s="38" t="e">
        <f t="shared" si="10"/>
        <v>#N/A</v>
      </c>
      <c r="M54" s="35" t="e">
        <f>SUM($J$5:J54)</f>
        <v>#N/A</v>
      </c>
      <c r="N54" s="35" t="e">
        <f>SUM($K$5:K54)</f>
        <v>#N/A</v>
      </c>
      <c r="O54" s="38" t="e">
        <f t="shared" si="11"/>
        <v>#N/A</v>
      </c>
      <c r="P54" s="43" t="e">
        <f t="shared" si="13"/>
        <v>#N/A</v>
      </c>
      <c r="Q54" s="44" t="e">
        <f t="shared" si="14"/>
        <v>#N/A</v>
      </c>
      <c r="R54" s="45" t="e">
        <f t="shared" si="15"/>
        <v>#N/A</v>
      </c>
      <c r="U54" s="7"/>
      <c r="V54" s="16"/>
      <c r="W54" s="16"/>
      <c r="X54" s="6"/>
    </row>
    <row r="55" spans="4:24" x14ac:dyDescent="0.25">
      <c r="D55" s="4" t="e">
        <f t="shared" si="6"/>
        <v>#N/A</v>
      </c>
      <c r="E55" s="10" t="e">
        <f t="shared" si="7"/>
        <v>#N/A</v>
      </c>
      <c r="F55" s="30" t="e">
        <f t="shared" si="4"/>
        <v>#N/A</v>
      </c>
      <c r="G55" s="29" t="e" cm="1">
        <f t="array" ref="G55">IF(D55=0, MAX(0, E55-$B$4),GBlackScholes("c",E55,$B$4,D55/365,$B$5,$B$5,F55))</f>
        <v>#N/A</v>
      </c>
      <c r="H55" s="30" t="e">
        <f t="shared" si="12"/>
        <v>#N/A</v>
      </c>
      <c r="I55" s="33" t="e">
        <f t="shared" si="5"/>
        <v>#N/A</v>
      </c>
      <c r="J55" s="35" t="e">
        <f t="shared" si="8"/>
        <v>#N/A</v>
      </c>
      <c r="K55" s="36" t="e">
        <f t="shared" si="9"/>
        <v>#N/A</v>
      </c>
      <c r="L55" s="38" t="e">
        <f t="shared" si="10"/>
        <v>#N/A</v>
      </c>
      <c r="M55" s="35" t="e">
        <f>SUM($J$5:J55)</f>
        <v>#N/A</v>
      </c>
      <c r="N55" s="35" t="e">
        <f>SUM($K$5:K55)</f>
        <v>#N/A</v>
      </c>
      <c r="O55" s="38" t="e">
        <f t="shared" si="11"/>
        <v>#N/A</v>
      </c>
      <c r="P55" s="43" t="e">
        <f t="shared" si="13"/>
        <v>#N/A</v>
      </c>
      <c r="Q55" s="44" t="e">
        <f t="shared" si="14"/>
        <v>#N/A</v>
      </c>
      <c r="R55" s="45" t="e">
        <f t="shared" si="15"/>
        <v>#N/A</v>
      </c>
      <c r="U55" s="7"/>
      <c r="V55" s="16"/>
      <c r="W55" s="16"/>
      <c r="X55" s="6"/>
    </row>
    <row r="56" spans="4:24" x14ac:dyDescent="0.25">
      <c r="D56" s="4" t="e">
        <f t="shared" si="6"/>
        <v>#N/A</v>
      </c>
      <c r="E56" s="10" t="e">
        <f t="shared" si="7"/>
        <v>#N/A</v>
      </c>
      <c r="F56" s="30" t="e">
        <f t="shared" si="4"/>
        <v>#N/A</v>
      </c>
      <c r="G56" s="29" t="e" cm="1">
        <f t="array" ref="G56">IF(D56=0, MAX(0, E56-$B$4),GBlackScholes("c",E56,$B$4,D56/365,$B$5,$B$5,F56))</f>
        <v>#N/A</v>
      </c>
      <c r="H56" s="30" t="e">
        <f t="shared" si="12"/>
        <v>#N/A</v>
      </c>
      <c r="I56" s="33" t="e">
        <f t="shared" si="5"/>
        <v>#N/A</v>
      </c>
      <c r="J56" s="35" t="e">
        <f t="shared" si="8"/>
        <v>#N/A</v>
      </c>
      <c r="K56" s="36" t="e">
        <f t="shared" si="9"/>
        <v>#N/A</v>
      </c>
      <c r="L56" s="38" t="e">
        <f t="shared" si="10"/>
        <v>#N/A</v>
      </c>
      <c r="M56" s="35" t="e">
        <f>SUM($J$5:J56)</f>
        <v>#N/A</v>
      </c>
      <c r="N56" s="35" t="e">
        <f>SUM($K$5:K56)</f>
        <v>#N/A</v>
      </c>
      <c r="O56" s="38" t="e">
        <f t="shared" si="11"/>
        <v>#N/A</v>
      </c>
      <c r="P56" s="43" t="e">
        <f t="shared" si="13"/>
        <v>#N/A</v>
      </c>
      <c r="Q56" s="44" t="e">
        <f t="shared" si="14"/>
        <v>#N/A</v>
      </c>
      <c r="R56" s="45" t="e">
        <f t="shared" si="15"/>
        <v>#N/A</v>
      </c>
      <c r="U56" s="7"/>
      <c r="V56" s="16"/>
      <c r="W56" s="16"/>
      <c r="X56" s="6"/>
    </row>
    <row r="57" spans="4:24" x14ac:dyDescent="0.25">
      <c r="D57" s="4" t="e">
        <f t="shared" si="6"/>
        <v>#N/A</v>
      </c>
      <c r="E57" s="10" t="e">
        <f t="shared" si="7"/>
        <v>#N/A</v>
      </c>
      <c r="F57" s="30" t="e">
        <f t="shared" si="4"/>
        <v>#N/A</v>
      </c>
      <c r="G57" s="29" t="e" cm="1">
        <f t="array" ref="G57">IF(D57=0, MAX(0, E57-$B$4),GBlackScholes("c",E57,$B$4,D57/365,$B$5,$B$5,F57))</f>
        <v>#N/A</v>
      </c>
      <c r="H57" s="30" t="e">
        <f t="shared" si="12"/>
        <v>#N/A</v>
      </c>
      <c r="I57" s="33" t="e">
        <f t="shared" si="5"/>
        <v>#N/A</v>
      </c>
      <c r="J57" s="35" t="e">
        <f t="shared" si="8"/>
        <v>#N/A</v>
      </c>
      <c r="K57" s="36" t="e">
        <f t="shared" si="9"/>
        <v>#N/A</v>
      </c>
      <c r="L57" s="38" t="e">
        <f t="shared" si="10"/>
        <v>#N/A</v>
      </c>
      <c r="M57" s="35" t="e">
        <f>SUM($J$5:J57)</f>
        <v>#N/A</v>
      </c>
      <c r="N57" s="35" t="e">
        <f>SUM($K$5:K57)</f>
        <v>#N/A</v>
      </c>
      <c r="O57" s="38" t="e">
        <f t="shared" si="11"/>
        <v>#N/A</v>
      </c>
      <c r="P57" s="43" t="e">
        <f t="shared" si="13"/>
        <v>#N/A</v>
      </c>
      <c r="Q57" s="44" t="e">
        <f t="shared" si="14"/>
        <v>#N/A</v>
      </c>
      <c r="R57" s="45" t="e">
        <f t="shared" si="15"/>
        <v>#N/A</v>
      </c>
      <c r="U57" s="7"/>
      <c r="V57" s="16"/>
      <c r="W57" s="16"/>
      <c r="X57" s="6"/>
    </row>
    <row r="58" spans="4:24" x14ac:dyDescent="0.25">
      <c r="D58" s="4" t="e">
        <f t="shared" si="6"/>
        <v>#N/A</v>
      </c>
      <c r="E58" s="10" t="e">
        <f t="shared" si="7"/>
        <v>#N/A</v>
      </c>
      <c r="F58" s="30" t="e">
        <f t="shared" si="4"/>
        <v>#N/A</v>
      </c>
      <c r="G58" s="29" t="e" cm="1">
        <f t="array" ref="G58">IF(D58=0, MAX(0, E58-$B$4),GBlackScholes("c",E58,$B$4,D58/365,$B$5,$B$5,F58))</f>
        <v>#N/A</v>
      </c>
      <c r="H58" s="30" t="e">
        <f t="shared" si="12"/>
        <v>#N/A</v>
      </c>
      <c r="I58" s="33" t="e">
        <f t="shared" si="5"/>
        <v>#N/A</v>
      </c>
      <c r="J58" s="35" t="e">
        <f t="shared" si="8"/>
        <v>#N/A</v>
      </c>
      <c r="K58" s="36" t="e">
        <f t="shared" si="9"/>
        <v>#N/A</v>
      </c>
      <c r="L58" s="38" t="e">
        <f t="shared" si="10"/>
        <v>#N/A</v>
      </c>
      <c r="M58" s="35" t="e">
        <f>SUM($J$5:J58)</f>
        <v>#N/A</v>
      </c>
      <c r="N58" s="35" t="e">
        <f>SUM($K$5:K58)</f>
        <v>#N/A</v>
      </c>
      <c r="O58" s="38" t="e">
        <f t="shared" si="11"/>
        <v>#N/A</v>
      </c>
      <c r="P58" s="43" t="e">
        <f t="shared" si="13"/>
        <v>#N/A</v>
      </c>
      <c r="Q58" s="44" t="e">
        <f t="shared" si="14"/>
        <v>#N/A</v>
      </c>
      <c r="R58" s="45" t="e">
        <f t="shared" si="15"/>
        <v>#N/A</v>
      </c>
      <c r="U58" s="7"/>
      <c r="V58" s="16"/>
      <c r="W58" s="16"/>
      <c r="X58" s="6"/>
    </row>
    <row r="59" spans="4:24" x14ac:dyDescent="0.25">
      <c r="D59" s="4" t="e">
        <f t="shared" si="6"/>
        <v>#N/A</v>
      </c>
      <c r="E59" s="10" t="e">
        <f t="shared" si="7"/>
        <v>#N/A</v>
      </c>
      <c r="F59" s="30" t="e">
        <f t="shared" si="4"/>
        <v>#N/A</v>
      </c>
      <c r="G59" s="29" t="e" cm="1">
        <f t="array" ref="G59">IF(D59=0, MAX(0, E59-$B$4),GBlackScholes("c",E59,$B$4,D59/365,$B$5,$B$5,F59))</f>
        <v>#N/A</v>
      </c>
      <c r="H59" s="30" t="e">
        <f t="shared" si="12"/>
        <v>#N/A</v>
      </c>
      <c r="I59" s="33" t="e">
        <f t="shared" si="5"/>
        <v>#N/A</v>
      </c>
      <c r="J59" s="35" t="e">
        <f t="shared" si="8"/>
        <v>#N/A</v>
      </c>
      <c r="K59" s="36" t="e">
        <f t="shared" si="9"/>
        <v>#N/A</v>
      </c>
      <c r="L59" s="38" t="e">
        <f t="shared" si="10"/>
        <v>#N/A</v>
      </c>
      <c r="M59" s="35" t="e">
        <f>SUM($J$5:J59)</f>
        <v>#N/A</v>
      </c>
      <c r="N59" s="35" t="e">
        <f>SUM($K$5:K59)</f>
        <v>#N/A</v>
      </c>
      <c r="O59" s="38" t="e">
        <f t="shared" si="11"/>
        <v>#N/A</v>
      </c>
      <c r="P59" s="43" t="e">
        <f t="shared" si="13"/>
        <v>#N/A</v>
      </c>
      <c r="Q59" s="44" t="e">
        <f t="shared" si="14"/>
        <v>#N/A</v>
      </c>
      <c r="R59" s="45" t="e">
        <f t="shared" si="15"/>
        <v>#N/A</v>
      </c>
      <c r="U59" s="7"/>
      <c r="V59" s="16"/>
      <c r="W59" s="16"/>
      <c r="X59" s="6"/>
    </row>
    <row r="60" spans="4:24" x14ac:dyDescent="0.25">
      <c r="D60" s="4" t="e">
        <f t="shared" si="6"/>
        <v>#N/A</v>
      </c>
      <c r="E60" s="10" t="e">
        <f t="shared" si="7"/>
        <v>#N/A</v>
      </c>
      <c r="F60" s="30" t="e">
        <f t="shared" si="4"/>
        <v>#N/A</v>
      </c>
      <c r="G60" s="29" t="e" cm="1">
        <f t="array" ref="G60">IF(D60=0, MAX(0, E60-$B$4),GBlackScholes("c",E60,$B$4,D60/365,$B$5,$B$5,F60))</f>
        <v>#N/A</v>
      </c>
      <c r="H60" s="30" t="e">
        <f t="shared" si="12"/>
        <v>#N/A</v>
      </c>
      <c r="I60" s="33" t="e">
        <f t="shared" si="5"/>
        <v>#N/A</v>
      </c>
      <c r="J60" s="35" t="e">
        <f t="shared" si="8"/>
        <v>#N/A</v>
      </c>
      <c r="K60" s="36" t="e">
        <f t="shared" si="9"/>
        <v>#N/A</v>
      </c>
      <c r="L60" s="38" t="e">
        <f t="shared" si="10"/>
        <v>#N/A</v>
      </c>
      <c r="M60" s="35" t="e">
        <f>SUM($J$5:J60)</f>
        <v>#N/A</v>
      </c>
      <c r="N60" s="35" t="e">
        <f>SUM($K$5:K60)</f>
        <v>#N/A</v>
      </c>
      <c r="O60" s="38" t="e">
        <f t="shared" si="11"/>
        <v>#N/A</v>
      </c>
      <c r="P60" s="43" t="e">
        <f t="shared" si="13"/>
        <v>#N/A</v>
      </c>
      <c r="Q60" s="44" t="e">
        <f t="shared" si="14"/>
        <v>#N/A</v>
      </c>
      <c r="R60" s="45" t="e">
        <f t="shared" si="15"/>
        <v>#N/A</v>
      </c>
      <c r="U60" s="7"/>
      <c r="V60" s="16"/>
      <c r="W60" s="16"/>
      <c r="X60" s="6"/>
    </row>
    <row r="61" spans="4:24" x14ac:dyDescent="0.25">
      <c r="D61" s="4" t="e">
        <f t="shared" si="6"/>
        <v>#N/A</v>
      </c>
      <c r="E61" s="10" t="e">
        <f t="shared" si="7"/>
        <v>#N/A</v>
      </c>
      <c r="F61" s="30" t="e">
        <f t="shared" si="4"/>
        <v>#N/A</v>
      </c>
      <c r="G61" s="29" t="e" cm="1">
        <f t="array" ref="G61">IF(D61=0, MAX(0, E61-$B$4),GBlackScholes("c",E61,$B$4,D61/365,$B$5,$B$5,F61))</f>
        <v>#N/A</v>
      </c>
      <c r="H61" s="30" t="e">
        <f t="shared" si="12"/>
        <v>#N/A</v>
      </c>
      <c r="I61" s="33" t="e">
        <f t="shared" si="5"/>
        <v>#N/A</v>
      </c>
      <c r="J61" s="35" t="e">
        <f t="shared" si="8"/>
        <v>#N/A</v>
      </c>
      <c r="K61" s="36" t="e">
        <f t="shared" si="9"/>
        <v>#N/A</v>
      </c>
      <c r="L61" s="38" t="e">
        <f t="shared" si="10"/>
        <v>#N/A</v>
      </c>
      <c r="M61" s="35" t="e">
        <f>SUM($J$5:J61)</f>
        <v>#N/A</v>
      </c>
      <c r="N61" s="35" t="e">
        <f>SUM($K$5:K61)</f>
        <v>#N/A</v>
      </c>
      <c r="O61" s="38" t="e">
        <f t="shared" si="11"/>
        <v>#N/A</v>
      </c>
      <c r="P61" s="43" t="e">
        <f t="shared" si="13"/>
        <v>#N/A</v>
      </c>
      <c r="Q61" s="44" t="e">
        <f t="shared" si="14"/>
        <v>#N/A</v>
      </c>
      <c r="R61" s="45" t="e">
        <f t="shared" si="15"/>
        <v>#N/A</v>
      </c>
      <c r="U61" s="7"/>
      <c r="V61" s="16"/>
      <c r="W61" s="16"/>
      <c r="X61" s="6"/>
    </row>
    <row r="62" spans="4:24" x14ac:dyDescent="0.25">
      <c r="D62" s="4" t="e">
        <f t="shared" si="6"/>
        <v>#N/A</v>
      </c>
      <c r="E62" s="10" t="e">
        <f t="shared" si="7"/>
        <v>#N/A</v>
      </c>
      <c r="F62" s="30" t="e">
        <f t="shared" si="4"/>
        <v>#N/A</v>
      </c>
      <c r="G62" s="29" t="e" cm="1">
        <f t="array" ref="G62">IF(D62=0, MAX(0, E62-$B$4),GBlackScholes("c",E62,$B$4,D62/365,$B$5,$B$5,F62))</f>
        <v>#N/A</v>
      </c>
      <c r="H62" s="30" t="e">
        <f t="shared" si="12"/>
        <v>#N/A</v>
      </c>
      <c r="I62" s="33" t="e">
        <f t="shared" si="5"/>
        <v>#N/A</v>
      </c>
      <c r="J62" s="35" t="e">
        <f t="shared" si="8"/>
        <v>#N/A</v>
      </c>
      <c r="K62" s="36" t="e">
        <f t="shared" si="9"/>
        <v>#N/A</v>
      </c>
      <c r="L62" s="38" t="e">
        <f t="shared" si="10"/>
        <v>#N/A</v>
      </c>
      <c r="M62" s="35" t="e">
        <f>SUM($J$5:J62)</f>
        <v>#N/A</v>
      </c>
      <c r="N62" s="35" t="e">
        <f>SUM($K$5:K62)</f>
        <v>#N/A</v>
      </c>
      <c r="O62" s="38" t="e">
        <f t="shared" si="11"/>
        <v>#N/A</v>
      </c>
      <c r="P62" s="43" t="e">
        <f t="shared" si="13"/>
        <v>#N/A</v>
      </c>
      <c r="Q62" s="44" t="e">
        <f t="shared" si="14"/>
        <v>#N/A</v>
      </c>
      <c r="R62" s="45" t="e">
        <f t="shared" si="15"/>
        <v>#N/A</v>
      </c>
      <c r="U62" s="7"/>
      <c r="V62" s="16"/>
      <c r="W62" s="16"/>
      <c r="X62" s="6"/>
    </row>
    <row r="63" spans="4:24" x14ac:dyDescent="0.25">
      <c r="D63" s="4" t="e">
        <f t="shared" si="6"/>
        <v>#N/A</v>
      </c>
      <c r="E63" s="10" t="e">
        <f t="shared" si="7"/>
        <v>#N/A</v>
      </c>
      <c r="F63" s="30" t="e">
        <f t="shared" si="4"/>
        <v>#N/A</v>
      </c>
      <c r="G63" s="29" t="e" cm="1">
        <f t="array" ref="G63">IF(D63=0, MAX(0, E63-$B$4),GBlackScholes("c",E63,$B$4,D63/365,$B$5,$B$5,F63))</f>
        <v>#N/A</v>
      </c>
      <c r="H63" s="30" t="e">
        <f t="shared" si="12"/>
        <v>#N/A</v>
      </c>
      <c r="I63" s="33" t="e">
        <f t="shared" si="5"/>
        <v>#N/A</v>
      </c>
      <c r="J63" s="35" t="e">
        <f t="shared" si="8"/>
        <v>#N/A</v>
      </c>
      <c r="K63" s="36" t="e">
        <f t="shared" si="9"/>
        <v>#N/A</v>
      </c>
      <c r="L63" s="38" t="e">
        <f t="shared" si="10"/>
        <v>#N/A</v>
      </c>
      <c r="M63" s="35" t="e">
        <f>SUM($J$5:J63)</f>
        <v>#N/A</v>
      </c>
      <c r="N63" s="35" t="e">
        <f>SUM($K$5:K63)</f>
        <v>#N/A</v>
      </c>
      <c r="O63" s="38" t="e">
        <f t="shared" si="11"/>
        <v>#N/A</v>
      </c>
      <c r="P63" s="43" t="e">
        <f t="shared" ref="P63:P92" si="16">IFERROR(D_one(E56,$B$4,D56/365,$B$5,$B$5,F56),NA())</f>
        <v>#N/A</v>
      </c>
      <c r="Q63" s="44" t="e">
        <f t="shared" ref="Q63:Q92" si="17">IFERROR(P63-(F56*SQRT(D56/365)),NA())</f>
        <v>#N/A</v>
      </c>
      <c r="R63" s="45" t="e">
        <f t="shared" si="15"/>
        <v>#N/A</v>
      </c>
      <c r="U63" s="7"/>
      <c r="V63" s="16"/>
      <c r="W63" s="16"/>
      <c r="X63" s="6"/>
    </row>
    <row r="64" spans="4:24" x14ac:dyDescent="0.25">
      <c r="D64" s="4" t="e">
        <f t="shared" si="6"/>
        <v>#N/A</v>
      </c>
      <c r="E64" s="10" t="e">
        <f t="shared" si="7"/>
        <v>#N/A</v>
      </c>
      <c r="F64" s="30" t="e">
        <f t="shared" si="4"/>
        <v>#N/A</v>
      </c>
      <c r="G64" s="29" t="e" cm="1">
        <f t="array" ref="G64">IF(D64=0, MAX(0, E64-$B$4),GBlackScholes("c",E64,$B$4,D64/365,$B$5,$B$5,F64))</f>
        <v>#N/A</v>
      </c>
      <c r="H64" s="30" t="e">
        <f t="shared" si="12"/>
        <v>#N/A</v>
      </c>
      <c r="I64" s="33" t="e">
        <f t="shared" si="5"/>
        <v>#N/A</v>
      </c>
      <c r="J64" s="35" t="e">
        <f t="shared" si="8"/>
        <v>#N/A</v>
      </c>
      <c r="K64" s="36" t="e">
        <f t="shared" si="9"/>
        <v>#N/A</v>
      </c>
      <c r="L64" s="38" t="e">
        <f t="shared" si="10"/>
        <v>#N/A</v>
      </c>
      <c r="M64" s="35" t="e">
        <f>SUM($J$5:J64)</f>
        <v>#N/A</v>
      </c>
      <c r="N64" s="35" t="e">
        <f>SUM($K$5:K64)</f>
        <v>#N/A</v>
      </c>
      <c r="O64" s="38" t="e">
        <f t="shared" si="11"/>
        <v>#N/A</v>
      </c>
      <c r="P64" s="43" t="e">
        <f t="shared" si="16"/>
        <v>#N/A</v>
      </c>
      <c r="Q64" s="44" t="e">
        <f t="shared" si="17"/>
        <v>#N/A</v>
      </c>
      <c r="R64" s="45" t="e">
        <f t="shared" si="15"/>
        <v>#N/A</v>
      </c>
      <c r="U64" s="7"/>
      <c r="V64" s="16"/>
      <c r="W64" s="16"/>
      <c r="X64" s="6"/>
    </row>
    <row r="65" spans="4:24" x14ac:dyDescent="0.25">
      <c r="D65" s="4" t="e">
        <f t="shared" si="6"/>
        <v>#N/A</v>
      </c>
      <c r="E65" s="10" t="e">
        <f t="shared" si="7"/>
        <v>#N/A</v>
      </c>
      <c r="F65" s="30" t="e">
        <f t="shared" si="4"/>
        <v>#N/A</v>
      </c>
      <c r="G65" s="29" t="e" cm="1">
        <f t="array" ref="G65">IF(D65=0, MAX(0, E65-$B$4),GBlackScholes("c",E65,$B$4,D65/365,$B$5,$B$5,F65))</f>
        <v>#N/A</v>
      </c>
      <c r="H65" s="30" t="e">
        <f t="shared" si="12"/>
        <v>#N/A</v>
      </c>
      <c r="I65" s="33" t="e">
        <f t="shared" si="5"/>
        <v>#N/A</v>
      </c>
      <c r="J65" s="35" t="e">
        <f t="shared" si="8"/>
        <v>#N/A</v>
      </c>
      <c r="K65" s="36" t="e">
        <f t="shared" si="9"/>
        <v>#N/A</v>
      </c>
      <c r="L65" s="38" t="e">
        <f t="shared" si="10"/>
        <v>#N/A</v>
      </c>
      <c r="M65" s="35" t="e">
        <f>SUM($J$5:J65)</f>
        <v>#N/A</v>
      </c>
      <c r="N65" s="35" t="e">
        <f>SUM($K$5:K65)</f>
        <v>#N/A</v>
      </c>
      <c r="O65" s="38" t="e">
        <f t="shared" si="11"/>
        <v>#N/A</v>
      </c>
      <c r="P65" s="43" t="e">
        <f t="shared" si="16"/>
        <v>#N/A</v>
      </c>
      <c r="Q65" s="44" t="e">
        <f t="shared" si="17"/>
        <v>#N/A</v>
      </c>
      <c r="R65" s="45" t="e">
        <f t="shared" si="15"/>
        <v>#N/A</v>
      </c>
      <c r="U65" s="7"/>
      <c r="V65" s="16"/>
      <c r="W65" s="16"/>
      <c r="X65" s="6"/>
    </row>
    <row r="66" spans="4:24" x14ac:dyDescent="0.25">
      <c r="D66" s="4" t="e">
        <f t="shared" si="6"/>
        <v>#N/A</v>
      </c>
      <c r="E66" s="10" t="e">
        <f t="shared" si="7"/>
        <v>#N/A</v>
      </c>
      <c r="F66" s="30" t="e">
        <f t="shared" si="4"/>
        <v>#N/A</v>
      </c>
      <c r="G66" s="29" t="e" cm="1">
        <f t="array" ref="G66">IF(D66=0, MAX(0, E66-$B$4),GBlackScholes("c",E66,$B$4,D66/365,$B$5,$B$5,F66))</f>
        <v>#N/A</v>
      </c>
      <c r="H66" s="30" t="e">
        <f t="shared" si="12"/>
        <v>#N/A</v>
      </c>
      <c r="I66" s="33" t="e">
        <f t="shared" si="5"/>
        <v>#N/A</v>
      </c>
      <c r="J66" s="35" t="e">
        <f t="shared" si="8"/>
        <v>#N/A</v>
      </c>
      <c r="K66" s="36" t="e">
        <f t="shared" si="9"/>
        <v>#N/A</v>
      </c>
      <c r="L66" s="38" t="e">
        <f t="shared" si="10"/>
        <v>#N/A</v>
      </c>
      <c r="M66" s="35" t="e">
        <f>SUM($J$5:J66)</f>
        <v>#N/A</v>
      </c>
      <c r="N66" s="35" t="e">
        <f>SUM($K$5:K66)</f>
        <v>#N/A</v>
      </c>
      <c r="O66" s="38" t="e">
        <f t="shared" si="11"/>
        <v>#N/A</v>
      </c>
      <c r="P66" s="43" t="e">
        <f t="shared" si="16"/>
        <v>#N/A</v>
      </c>
      <c r="Q66" s="44" t="e">
        <f t="shared" si="17"/>
        <v>#N/A</v>
      </c>
      <c r="R66" s="45" t="e">
        <f t="shared" si="15"/>
        <v>#N/A</v>
      </c>
      <c r="U66" s="7"/>
      <c r="V66" s="16"/>
      <c r="W66" s="16"/>
      <c r="X66" s="6"/>
    </row>
    <row r="67" spans="4:24" x14ac:dyDescent="0.25">
      <c r="D67" s="4" t="e">
        <f t="shared" si="6"/>
        <v>#N/A</v>
      </c>
      <c r="E67" s="10" t="e">
        <f t="shared" si="7"/>
        <v>#N/A</v>
      </c>
      <c r="F67" s="30" t="e">
        <f t="shared" si="4"/>
        <v>#N/A</v>
      </c>
      <c r="G67" s="29" t="e" cm="1">
        <f t="array" ref="G67">IF(D67=0, MAX(0, E67-$B$4),GBlackScholes("c",E67,$B$4,D67/365,$B$5,$B$5,F67))</f>
        <v>#N/A</v>
      </c>
      <c r="H67" s="30" t="e">
        <f t="shared" si="12"/>
        <v>#N/A</v>
      </c>
      <c r="I67" s="33" t="e">
        <f t="shared" si="5"/>
        <v>#N/A</v>
      </c>
      <c r="J67" s="35" t="e">
        <f t="shared" si="8"/>
        <v>#N/A</v>
      </c>
      <c r="K67" s="36" t="e">
        <f t="shared" si="9"/>
        <v>#N/A</v>
      </c>
      <c r="L67" s="38" t="e">
        <f t="shared" si="10"/>
        <v>#N/A</v>
      </c>
      <c r="M67" s="35" t="e">
        <f>SUM($J$5:J67)</f>
        <v>#N/A</v>
      </c>
      <c r="N67" s="35" t="e">
        <f>SUM($K$5:K67)</f>
        <v>#N/A</v>
      </c>
      <c r="O67" s="38" t="e">
        <f t="shared" si="11"/>
        <v>#N/A</v>
      </c>
      <c r="P67" s="43" t="e">
        <f t="shared" si="16"/>
        <v>#N/A</v>
      </c>
      <c r="Q67" s="44" t="e">
        <f t="shared" si="17"/>
        <v>#N/A</v>
      </c>
      <c r="R67" s="45" t="e">
        <f t="shared" si="15"/>
        <v>#N/A</v>
      </c>
      <c r="U67" s="7"/>
      <c r="V67" s="16"/>
      <c r="W67" s="16"/>
      <c r="X67" s="6"/>
    </row>
    <row r="68" spans="4:24" x14ac:dyDescent="0.25">
      <c r="D68" s="4" t="e">
        <f t="shared" si="6"/>
        <v>#N/A</v>
      </c>
      <c r="E68" s="10" t="e">
        <f t="shared" si="7"/>
        <v>#N/A</v>
      </c>
      <c r="F68" s="30" t="e">
        <f t="shared" si="4"/>
        <v>#N/A</v>
      </c>
      <c r="G68" s="29" t="e" cm="1">
        <f t="array" ref="G68">IF(D68=0, MAX(0, E68-$B$4),GBlackScholes("c",E68,$B$4,D68/365,$B$5,$B$5,F68))</f>
        <v>#N/A</v>
      </c>
      <c r="H68" s="30" t="e">
        <f t="shared" si="12"/>
        <v>#N/A</v>
      </c>
      <c r="I68" s="33" t="e">
        <f t="shared" si="5"/>
        <v>#N/A</v>
      </c>
      <c r="J68" s="35" t="e">
        <f t="shared" si="8"/>
        <v>#N/A</v>
      </c>
      <c r="K68" s="36" t="e">
        <f t="shared" si="9"/>
        <v>#N/A</v>
      </c>
      <c r="L68" s="38" t="e">
        <f t="shared" si="10"/>
        <v>#N/A</v>
      </c>
      <c r="M68" s="35" t="e">
        <f>SUM($J$5:J68)</f>
        <v>#N/A</v>
      </c>
      <c r="N68" s="35" t="e">
        <f>SUM($K$5:K68)</f>
        <v>#N/A</v>
      </c>
      <c r="O68" s="38" t="e">
        <f t="shared" si="11"/>
        <v>#N/A</v>
      </c>
      <c r="P68" s="43" t="e">
        <f t="shared" si="16"/>
        <v>#N/A</v>
      </c>
      <c r="Q68" s="44" t="e">
        <f t="shared" si="17"/>
        <v>#N/A</v>
      </c>
      <c r="R68" s="45" t="e">
        <f t="shared" si="15"/>
        <v>#N/A</v>
      </c>
      <c r="U68" s="7"/>
      <c r="V68" s="16"/>
      <c r="W68" s="16"/>
      <c r="X68" s="6"/>
    </row>
    <row r="69" spans="4:24" x14ac:dyDescent="0.25">
      <c r="D69" s="4" t="e">
        <f t="shared" si="6"/>
        <v>#N/A</v>
      </c>
      <c r="E69" s="10" t="e">
        <f t="shared" si="7"/>
        <v>#N/A</v>
      </c>
      <c r="F69" s="30" t="e">
        <f t="shared" ref="F69:F85" si="18">IF(D69&gt;=0,$B$6,"")</f>
        <v>#N/A</v>
      </c>
      <c r="G69" s="29" t="e" cm="1">
        <f t="array" ref="G69">IF(D69=0, MAX(0, E69-$B$4),GBlackScholes("c",E69,$B$4,D69/365,$B$5,$B$5,F69))</f>
        <v>#N/A</v>
      </c>
      <c r="H69" s="30" t="e">
        <f t="shared" ref="H69:H85" si="19">IFERROR(_xlfn.NORM.DIST(P76,0,1,TRUE),NA())</f>
        <v>#N/A</v>
      </c>
      <c r="I69" s="33" t="e">
        <f t="shared" ref="I69:I85" si="20">IF($A$11="long",-H69,H69)</f>
        <v>#N/A</v>
      </c>
      <c r="J69" s="35" t="e">
        <f t="shared" si="8"/>
        <v>#N/A</v>
      </c>
      <c r="K69" s="36" t="e">
        <f t="shared" si="9"/>
        <v>#N/A</v>
      </c>
      <c r="L69" s="38" t="e">
        <f t="shared" si="10"/>
        <v>#N/A</v>
      </c>
      <c r="M69" s="35" t="e">
        <f>SUM($J$5:J69)</f>
        <v>#N/A</v>
      </c>
      <c r="N69" s="35" t="e">
        <f>SUM($K$5:K69)</f>
        <v>#N/A</v>
      </c>
      <c r="O69" s="38" t="e">
        <f t="shared" si="11"/>
        <v>#N/A</v>
      </c>
      <c r="P69" s="43" t="e">
        <f t="shared" si="16"/>
        <v>#N/A</v>
      </c>
      <c r="Q69" s="44" t="e">
        <f t="shared" si="17"/>
        <v>#N/A</v>
      </c>
      <c r="R69" s="45" t="e">
        <f t="shared" si="15"/>
        <v>#N/A</v>
      </c>
      <c r="U69" s="7"/>
      <c r="V69" s="16"/>
      <c r="W69" s="16"/>
      <c r="X69" s="6"/>
    </row>
    <row r="70" spans="4:24" x14ac:dyDescent="0.25">
      <c r="D70" s="4" t="e">
        <f t="shared" ref="D70:D85" si="21">IF(D69-1&gt;=0, D69-1,NA())</f>
        <v>#N/A</v>
      </c>
      <c r="E70" s="10" t="e">
        <f t="shared" ref="E70:E85" si="22">IF(D70&gt;=0,E69*1.005,NA())</f>
        <v>#N/A</v>
      </c>
      <c r="F70" s="30" t="e">
        <f t="shared" si="18"/>
        <v>#N/A</v>
      </c>
      <c r="G70" s="29" t="e" cm="1">
        <f t="array" ref="G70">IF(D70=0, MAX(0, E70-$B$4),GBlackScholes("c",E70,$B$4,D70/365,$B$5,$B$5,F70))</f>
        <v>#N/A</v>
      </c>
      <c r="H70" s="30" t="e">
        <f t="shared" si="19"/>
        <v>#N/A</v>
      </c>
      <c r="I70" s="33" t="e">
        <f t="shared" si="20"/>
        <v>#N/A</v>
      </c>
      <c r="J70" s="35" t="e">
        <f t="shared" ref="J70:J85" si="23">IF($A$11="long",G70-G69, G69-G70)</f>
        <v>#N/A</v>
      </c>
      <c r="K70" s="36" t="e">
        <f t="shared" ref="K70:K85" si="24">I69*(E70-E69)</f>
        <v>#N/A</v>
      </c>
      <c r="L70" s="38" t="e">
        <f t="shared" ref="L70:L85" si="25">J70+K70</f>
        <v>#N/A</v>
      </c>
      <c r="M70" s="35" t="e">
        <f>SUM($J$5:J70)</f>
        <v>#N/A</v>
      </c>
      <c r="N70" s="35" t="e">
        <f>SUM($K$5:K70)</f>
        <v>#N/A</v>
      </c>
      <c r="O70" s="38" t="e">
        <f t="shared" si="11"/>
        <v>#N/A</v>
      </c>
      <c r="P70" s="43" t="e">
        <f t="shared" si="16"/>
        <v>#N/A</v>
      </c>
      <c r="Q70" s="44" t="e">
        <f t="shared" si="17"/>
        <v>#N/A</v>
      </c>
      <c r="R70" s="45" t="e">
        <f t="shared" si="15"/>
        <v>#N/A</v>
      </c>
      <c r="U70" s="7"/>
      <c r="V70" s="16"/>
      <c r="W70" s="16"/>
      <c r="X70" s="6"/>
    </row>
    <row r="71" spans="4:24" x14ac:dyDescent="0.25">
      <c r="D71" s="4" t="e">
        <f t="shared" si="21"/>
        <v>#N/A</v>
      </c>
      <c r="E71" s="10" t="e">
        <f t="shared" si="22"/>
        <v>#N/A</v>
      </c>
      <c r="F71" s="30" t="e">
        <f t="shared" si="18"/>
        <v>#N/A</v>
      </c>
      <c r="G71" s="29" t="e" cm="1">
        <f t="array" ref="G71">IF(D71=0, MAX(0, E71-$B$4),GBlackScholes("c",E71,$B$4,D71/365,$B$5,$B$5,F71))</f>
        <v>#N/A</v>
      </c>
      <c r="H71" s="30" t="e">
        <f t="shared" si="19"/>
        <v>#N/A</v>
      </c>
      <c r="I71" s="33" t="e">
        <f t="shared" si="20"/>
        <v>#N/A</v>
      </c>
      <c r="J71" s="35" t="e">
        <f t="shared" si="23"/>
        <v>#N/A</v>
      </c>
      <c r="K71" s="36" t="e">
        <f t="shared" si="24"/>
        <v>#N/A</v>
      </c>
      <c r="L71" s="38" t="e">
        <f t="shared" si="25"/>
        <v>#N/A</v>
      </c>
      <c r="M71" s="35" t="e">
        <f>SUM($J$5:J71)</f>
        <v>#N/A</v>
      </c>
      <c r="N71" s="35" t="e">
        <f>SUM($K$5:K71)</f>
        <v>#N/A</v>
      </c>
      <c r="O71" s="38" t="e">
        <f t="shared" ref="O71:O85" si="26">M71+N71</f>
        <v>#N/A</v>
      </c>
      <c r="P71" s="43" t="e">
        <f t="shared" si="16"/>
        <v>#N/A</v>
      </c>
      <c r="Q71" s="44" t="e">
        <f t="shared" si="17"/>
        <v>#N/A</v>
      </c>
      <c r="R71" s="45" t="e">
        <f t="shared" si="15"/>
        <v>#N/A</v>
      </c>
      <c r="U71" s="7"/>
      <c r="V71" s="16"/>
      <c r="W71" s="16"/>
      <c r="X71" s="6"/>
    </row>
    <row r="72" spans="4:24" x14ac:dyDescent="0.25">
      <c r="D72" s="4" t="e">
        <f t="shared" si="21"/>
        <v>#N/A</v>
      </c>
      <c r="E72" s="10" t="e">
        <f t="shared" si="22"/>
        <v>#N/A</v>
      </c>
      <c r="F72" s="30" t="e">
        <f t="shared" si="18"/>
        <v>#N/A</v>
      </c>
      <c r="G72" s="29" t="e" cm="1">
        <f t="array" ref="G72">IF(D72=0, MAX(0, E72-$B$4),GBlackScholes("c",E72,$B$4,D72/365,$B$5,$B$5,F72))</f>
        <v>#N/A</v>
      </c>
      <c r="H72" s="30" t="e">
        <f t="shared" si="19"/>
        <v>#N/A</v>
      </c>
      <c r="I72" s="33" t="e">
        <f t="shared" si="20"/>
        <v>#N/A</v>
      </c>
      <c r="J72" s="35" t="e">
        <f t="shared" si="23"/>
        <v>#N/A</v>
      </c>
      <c r="K72" s="36" t="e">
        <f t="shared" si="24"/>
        <v>#N/A</v>
      </c>
      <c r="L72" s="38" t="e">
        <f t="shared" si="25"/>
        <v>#N/A</v>
      </c>
      <c r="M72" s="35" t="e">
        <f>SUM($J$5:J72)</f>
        <v>#N/A</v>
      </c>
      <c r="N72" s="35" t="e">
        <f>SUM($K$5:K72)</f>
        <v>#N/A</v>
      </c>
      <c r="O72" s="38" t="e">
        <f t="shared" si="26"/>
        <v>#N/A</v>
      </c>
      <c r="P72" s="43" t="e">
        <f t="shared" si="16"/>
        <v>#N/A</v>
      </c>
      <c r="Q72" s="44" t="e">
        <f t="shared" si="17"/>
        <v>#N/A</v>
      </c>
      <c r="R72" s="45" t="e">
        <f t="shared" si="15"/>
        <v>#N/A</v>
      </c>
      <c r="U72" s="7"/>
      <c r="V72" s="16"/>
      <c r="W72" s="16"/>
      <c r="X72" s="6"/>
    </row>
    <row r="73" spans="4:24" x14ac:dyDescent="0.25">
      <c r="D73" s="4" t="e">
        <f t="shared" si="21"/>
        <v>#N/A</v>
      </c>
      <c r="E73" s="10" t="e">
        <f t="shared" si="22"/>
        <v>#N/A</v>
      </c>
      <c r="F73" s="30" t="e">
        <f t="shared" si="18"/>
        <v>#N/A</v>
      </c>
      <c r="G73" s="29" t="e" cm="1">
        <f t="array" ref="G73">IF(D73=0, MAX(0, E73-$B$4),GBlackScholes("c",E73,$B$4,D73/365,$B$5,$B$5,F73))</f>
        <v>#N/A</v>
      </c>
      <c r="H73" s="30" t="e">
        <f t="shared" si="19"/>
        <v>#N/A</v>
      </c>
      <c r="I73" s="33" t="e">
        <f t="shared" si="20"/>
        <v>#N/A</v>
      </c>
      <c r="J73" s="35" t="e">
        <f t="shared" si="23"/>
        <v>#N/A</v>
      </c>
      <c r="K73" s="36" t="e">
        <f t="shared" si="24"/>
        <v>#N/A</v>
      </c>
      <c r="L73" s="38" t="e">
        <f t="shared" si="25"/>
        <v>#N/A</v>
      </c>
      <c r="M73" s="35" t="e">
        <f>SUM($J$5:J73)</f>
        <v>#N/A</v>
      </c>
      <c r="N73" s="35" t="e">
        <f>SUM($K$5:K73)</f>
        <v>#N/A</v>
      </c>
      <c r="O73" s="38" t="e">
        <f t="shared" si="26"/>
        <v>#N/A</v>
      </c>
      <c r="P73" s="43" t="e">
        <f t="shared" si="16"/>
        <v>#N/A</v>
      </c>
      <c r="Q73" s="44" t="e">
        <f t="shared" si="17"/>
        <v>#N/A</v>
      </c>
      <c r="R73" s="45" t="e">
        <f t="shared" si="15"/>
        <v>#N/A</v>
      </c>
      <c r="U73" s="7"/>
      <c r="V73" s="16"/>
      <c r="W73" s="16"/>
      <c r="X73" s="6"/>
    </row>
    <row r="74" spans="4:24" x14ac:dyDescent="0.25">
      <c r="D74" s="4" t="e">
        <f t="shared" si="21"/>
        <v>#N/A</v>
      </c>
      <c r="E74" s="10" t="e">
        <f t="shared" si="22"/>
        <v>#N/A</v>
      </c>
      <c r="F74" s="30" t="e">
        <f t="shared" si="18"/>
        <v>#N/A</v>
      </c>
      <c r="G74" s="29" t="e" cm="1">
        <f t="array" ref="G74">IF(D74=0, MAX(0, E74-$B$4),GBlackScholes("c",E74,$B$4,D74/365,$B$5,$B$5,F74))</f>
        <v>#N/A</v>
      </c>
      <c r="H74" s="30" t="e">
        <f t="shared" si="19"/>
        <v>#N/A</v>
      </c>
      <c r="I74" s="33" t="e">
        <f t="shared" si="20"/>
        <v>#N/A</v>
      </c>
      <c r="J74" s="35" t="e">
        <f t="shared" si="23"/>
        <v>#N/A</v>
      </c>
      <c r="K74" s="36" t="e">
        <f t="shared" si="24"/>
        <v>#N/A</v>
      </c>
      <c r="L74" s="38" t="e">
        <f t="shared" si="25"/>
        <v>#N/A</v>
      </c>
      <c r="M74" s="35" t="e">
        <f>SUM($J$5:J74)</f>
        <v>#N/A</v>
      </c>
      <c r="N74" s="35" t="e">
        <f>SUM($K$5:K74)</f>
        <v>#N/A</v>
      </c>
      <c r="O74" s="38" t="e">
        <f t="shared" si="26"/>
        <v>#N/A</v>
      </c>
      <c r="P74" s="43" t="e">
        <f t="shared" si="16"/>
        <v>#N/A</v>
      </c>
      <c r="Q74" s="44" t="e">
        <f t="shared" si="17"/>
        <v>#N/A</v>
      </c>
      <c r="R74" s="45" t="e">
        <f t="shared" si="15"/>
        <v>#N/A</v>
      </c>
      <c r="U74" s="7"/>
      <c r="V74" s="16"/>
      <c r="W74" s="16"/>
      <c r="X74" s="6"/>
    </row>
    <row r="75" spans="4:24" x14ac:dyDescent="0.25">
      <c r="D75" s="4" t="e">
        <f t="shared" si="21"/>
        <v>#N/A</v>
      </c>
      <c r="E75" s="10" t="e">
        <f t="shared" si="22"/>
        <v>#N/A</v>
      </c>
      <c r="F75" s="30" t="e">
        <f t="shared" si="18"/>
        <v>#N/A</v>
      </c>
      <c r="G75" s="29" t="e" cm="1">
        <f t="array" ref="G75">IF(D75=0, MAX(0, E75-$B$4),GBlackScholes("c",E75,$B$4,D75/365,$B$5,$B$5,F75))</f>
        <v>#N/A</v>
      </c>
      <c r="H75" s="30" t="e">
        <f t="shared" si="19"/>
        <v>#N/A</v>
      </c>
      <c r="I75" s="33" t="e">
        <f t="shared" si="20"/>
        <v>#N/A</v>
      </c>
      <c r="J75" s="35" t="e">
        <f t="shared" si="23"/>
        <v>#N/A</v>
      </c>
      <c r="K75" s="36" t="e">
        <f t="shared" si="24"/>
        <v>#N/A</v>
      </c>
      <c r="L75" s="38" t="e">
        <f t="shared" si="25"/>
        <v>#N/A</v>
      </c>
      <c r="M75" s="35" t="e">
        <f>SUM($J$5:J75)</f>
        <v>#N/A</v>
      </c>
      <c r="N75" s="35" t="e">
        <f>SUM($K$5:K75)</f>
        <v>#N/A</v>
      </c>
      <c r="O75" s="38" t="e">
        <f t="shared" si="26"/>
        <v>#N/A</v>
      </c>
      <c r="P75" s="43" t="e">
        <f t="shared" si="16"/>
        <v>#N/A</v>
      </c>
      <c r="Q75" s="44" t="e">
        <f t="shared" si="17"/>
        <v>#N/A</v>
      </c>
      <c r="R75" s="45" t="e">
        <f t="shared" si="15"/>
        <v>#N/A</v>
      </c>
      <c r="U75" s="7"/>
      <c r="V75" s="16"/>
      <c r="W75" s="16"/>
      <c r="X75" s="6"/>
    </row>
    <row r="76" spans="4:24" x14ac:dyDescent="0.25">
      <c r="D76" s="4" t="e">
        <f t="shared" si="21"/>
        <v>#N/A</v>
      </c>
      <c r="E76" s="10" t="e">
        <f t="shared" si="22"/>
        <v>#N/A</v>
      </c>
      <c r="F76" s="30" t="e">
        <f t="shared" si="18"/>
        <v>#N/A</v>
      </c>
      <c r="G76" s="29" t="e" cm="1">
        <f t="array" ref="G76">IF(D76=0, MAX(0, E76-$B$4),GBlackScholes("c",E76,$B$4,D76/365,$B$5,$B$5,F76))</f>
        <v>#N/A</v>
      </c>
      <c r="H76" s="30" t="e">
        <f t="shared" si="19"/>
        <v>#N/A</v>
      </c>
      <c r="I76" s="33" t="e">
        <f t="shared" si="20"/>
        <v>#N/A</v>
      </c>
      <c r="J76" s="35" t="e">
        <f t="shared" si="23"/>
        <v>#N/A</v>
      </c>
      <c r="K76" s="36" t="e">
        <f t="shared" si="24"/>
        <v>#N/A</v>
      </c>
      <c r="L76" s="38" t="e">
        <f t="shared" si="25"/>
        <v>#N/A</v>
      </c>
      <c r="M76" s="35" t="e">
        <f>SUM($J$5:J76)</f>
        <v>#N/A</v>
      </c>
      <c r="N76" s="35" t="e">
        <f>SUM($K$5:K76)</f>
        <v>#N/A</v>
      </c>
      <c r="O76" s="38" t="e">
        <f t="shared" si="26"/>
        <v>#N/A</v>
      </c>
      <c r="P76" s="43" t="e">
        <f t="shared" si="16"/>
        <v>#N/A</v>
      </c>
      <c r="Q76" s="44" t="e">
        <f t="shared" si="17"/>
        <v>#N/A</v>
      </c>
      <c r="R76" s="45" t="e">
        <f t="shared" ref="R76:R92" si="27">IFERROR(_xlfn.NORM.DIST(Q76,0,1,TRUE),NA())</f>
        <v>#N/A</v>
      </c>
      <c r="U76" s="7"/>
      <c r="V76" s="16"/>
      <c r="W76" s="16"/>
      <c r="X76" s="6"/>
    </row>
    <row r="77" spans="4:24" x14ac:dyDescent="0.25">
      <c r="D77" s="4" t="e">
        <f t="shared" si="21"/>
        <v>#N/A</v>
      </c>
      <c r="E77" s="10" t="e">
        <f t="shared" si="22"/>
        <v>#N/A</v>
      </c>
      <c r="F77" s="30" t="e">
        <f t="shared" si="18"/>
        <v>#N/A</v>
      </c>
      <c r="G77" s="29" t="e" cm="1">
        <f t="array" ref="G77">IF(D77=0, MAX(0, E77-$B$4),GBlackScholes("c",E77,$B$4,D77/365,$B$5,$B$5,F77))</f>
        <v>#N/A</v>
      </c>
      <c r="H77" s="30" t="e">
        <f t="shared" si="19"/>
        <v>#N/A</v>
      </c>
      <c r="I77" s="33" t="e">
        <f t="shared" si="20"/>
        <v>#N/A</v>
      </c>
      <c r="J77" s="35" t="e">
        <f t="shared" si="23"/>
        <v>#N/A</v>
      </c>
      <c r="K77" s="36" t="e">
        <f t="shared" si="24"/>
        <v>#N/A</v>
      </c>
      <c r="L77" s="38" t="e">
        <f t="shared" si="25"/>
        <v>#N/A</v>
      </c>
      <c r="M77" s="35" t="e">
        <f>SUM($J$5:J77)</f>
        <v>#N/A</v>
      </c>
      <c r="N77" s="35" t="e">
        <f>SUM($K$5:K77)</f>
        <v>#N/A</v>
      </c>
      <c r="O77" s="38" t="e">
        <f t="shared" si="26"/>
        <v>#N/A</v>
      </c>
      <c r="P77" s="43" t="e">
        <f t="shared" si="16"/>
        <v>#N/A</v>
      </c>
      <c r="Q77" s="44" t="e">
        <f t="shared" si="17"/>
        <v>#N/A</v>
      </c>
      <c r="R77" s="45" t="e">
        <f t="shared" si="27"/>
        <v>#N/A</v>
      </c>
      <c r="U77" s="7"/>
      <c r="V77" s="16"/>
      <c r="W77" s="16"/>
      <c r="X77" s="6"/>
    </row>
    <row r="78" spans="4:24" x14ac:dyDescent="0.25">
      <c r="D78" s="4" t="e">
        <f t="shared" si="21"/>
        <v>#N/A</v>
      </c>
      <c r="E78" s="10" t="e">
        <f t="shared" si="22"/>
        <v>#N/A</v>
      </c>
      <c r="F78" s="30" t="e">
        <f t="shared" si="18"/>
        <v>#N/A</v>
      </c>
      <c r="G78" s="29" t="e" cm="1">
        <f t="array" ref="G78">IF(D78=0, MAX(0, E78-$B$4),GBlackScholes("c",E78,$B$4,D78/365,$B$5,$B$5,F78))</f>
        <v>#N/A</v>
      </c>
      <c r="H78" s="30" t="e">
        <f t="shared" si="19"/>
        <v>#N/A</v>
      </c>
      <c r="I78" s="33" t="e">
        <f t="shared" si="20"/>
        <v>#N/A</v>
      </c>
      <c r="J78" s="35" t="e">
        <f t="shared" si="23"/>
        <v>#N/A</v>
      </c>
      <c r="K78" s="36" t="e">
        <f t="shared" si="24"/>
        <v>#N/A</v>
      </c>
      <c r="L78" s="38" t="e">
        <f t="shared" si="25"/>
        <v>#N/A</v>
      </c>
      <c r="M78" s="35" t="e">
        <f>SUM($J$5:J78)</f>
        <v>#N/A</v>
      </c>
      <c r="N78" s="35" t="e">
        <f>SUM($K$5:K78)</f>
        <v>#N/A</v>
      </c>
      <c r="O78" s="38" t="e">
        <f t="shared" si="26"/>
        <v>#N/A</v>
      </c>
      <c r="P78" s="43" t="e">
        <f t="shared" si="16"/>
        <v>#N/A</v>
      </c>
      <c r="Q78" s="44" t="e">
        <f t="shared" si="17"/>
        <v>#N/A</v>
      </c>
      <c r="R78" s="45" t="e">
        <f t="shared" si="27"/>
        <v>#N/A</v>
      </c>
      <c r="U78" s="7"/>
      <c r="V78" s="16"/>
      <c r="W78" s="16"/>
      <c r="X78" s="6"/>
    </row>
    <row r="79" spans="4:24" x14ac:dyDescent="0.25">
      <c r="D79" s="4" t="e">
        <f t="shared" si="21"/>
        <v>#N/A</v>
      </c>
      <c r="E79" s="10" t="e">
        <f t="shared" si="22"/>
        <v>#N/A</v>
      </c>
      <c r="F79" s="30" t="e">
        <f t="shared" si="18"/>
        <v>#N/A</v>
      </c>
      <c r="G79" s="29" t="e" cm="1">
        <f t="array" ref="G79">IF(D79=0, MAX(0, E79-$B$4),GBlackScholes("c",E79,$B$4,D79/365,$B$5,$B$5,F79))</f>
        <v>#N/A</v>
      </c>
      <c r="H79" s="30" t="e">
        <f t="shared" si="19"/>
        <v>#N/A</v>
      </c>
      <c r="I79" s="33" t="e">
        <f t="shared" si="20"/>
        <v>#N/A</v>
      </c>
      <c r="J79" s="35" t="e">
        <f t="shared" si="23"/>
        <v>#N/A</v>
      </c>
      <c r="K79" s="36" t="e">
        <f t="shared" si="24"/>
        <v>#N/A</v>
      </c>
      <c r="L79" s="38" t="e">
        <f t="shared" si="25"/>
        <v>#N/A</v>
      </c>
      <c r="M79" s="35" t="e">
        <f>SUM($J$5:J79)</f>
        <v>#N/A</v>
      </c>
      <c r="N79" s="35" t="e">
        <f>SUM($K$5:K79)</f>
        <v>#N/A</v>
      </c>
      <c r="O79" s="38" t="e">
        <f t="shared" si="26"/>
        <v>#N/A</v>
      </c>
      <c r="P79" s="43" t="e">
        <f t="shared" si="16"/>
        <v>#N/A</v>
      </c>
      <c r="Q79" s="44" t="e">
        <f t="shared" si="17"/>
        <v>#N/A</v>
      </c>
      <c r="R79" s="45" t="e">
        <f t="shared" si="27"/>
        <v>#N/A</v>
      </c>
      <c r="U79" s="7"/>
      <c r="V79" s="16"/>
      <c r="W79" s="16"/>
      <c r="X79" s="6"/>
    </row>
    <row r="80" spans="4:24" x14ac:dyDescent="0.25">
      <c r="D80" s="4" t="e">
        <f t="shared" si="21"/>
        <v>#N/A</v>
      </c>
      <c r="E80" s="10" t="e">
        <f t="shared" si="22"/>
        <v>#N/A</v>
      </c>
      <c r="F80" s="30" t="e">
        <f t="shared" si="18"/>
        <v>#N/A</v>
      </c>
      <c r="G80" s="29" t="e" cm="1">
        <f t="array" ref="G80">IF(D80=0, MAX(0, E80-$B$4),GBlackScholes("c",E80,$B$4,D80/365,$B$5,$B$5,F80))</f>
        <v>#N/A</v>
      </c>
      <c r="H80" s="30" t="e">
        <f t="shared" si="19"/>
        <v>#N/A</v>
      </c>
      <c r="I80" s="33" t="e">
        <f t="shared" si="20"/>
        <v>#N/A</v>
      </c>
      <c r="J80" s="35" t="e">
        <f t="shared" si="23"/>
        <v>#N/A</v>
      </c>
      <c r="K80" s="36" t="e">
        <f t="shared" si="24"/>
        <v>#N/A</v>
      </c>
      <c r="L80" s="38" t="e">
        <f t="shared" si="25"/>
        <v>#N/A</v>
      </c>
      <c r="M80" s="35" t="e">
        <f>SUM($J$5:J80)</f>
        <v>#N/A</v>
      </c>
      <c r="N80" s="35" t="e">
        <f>SUM($K$5:K80)</f>
        <v>#N/A</v>
      </c>
      <c r="O80" s="38" t="e">
        <f t="shared" si="26"/>
        <v>#N/A</v>
      </c>
      <c r="P80" s="43" t="e">
        <f t="shared" si="16"/>
        <v>#N/A</v>
      </c>
      <c r="Q80" s="44" t="e">
        <f t="shared" si="17"/>
        <v>#N/A</v>
      </c>
      <c r="R80" s="45" t="e">
        <f t="shared" si="27"/>
        <v>#N/A</v>
      </c>
      <c r="U80" s="7"/>
      <c r="V80" s="16"/>
      <c r="W80" s="16"/>
      <c r="X80" s="6"/>
    </row>
    <row r="81" spans="1:24" x14ac:dyDescent="0.25">
      <c r="D81" s="4" t="e">
        <f t="shared" si="21"/>
        <v>#N/A</v>
      </c>
      <c r="E81" s="10" t="e">
        <f t="shared" si="22"/>
        <v>#N/A</v>
      </c>
      <c r="F81" s="30" t="e">
        <f t="shared" si="18"/>
        <v>#N/A</v>
      </c>
      <c r="G81" s="29" t="e" cm="1">
        <f t="array" ref="G81">IF(D81=0, MAX(0, E81-$B$4),GBlackScholes("c",E81,$B$4,D81/365,$B$5,$B$5,F81))</f>
        <v>#N/A</v>
      </c>
      <c r="H81" s="30" t="e">
        <f t="shared" si="19"/>
        <v>#N/A</v>
      </c>
      <c r="I81" s="33" t="e">
        <f t="shared" si="20"/>
        <v>#N/A</v>
      </c>
      <c r="J81" s="35" t="e">
        <f t="shared" si="23"/>
        <v>#N/A</v>
      </c>
      <c r="K81" s="36" t="e">
        <f t="shared" si="24"/>
        <v>#N/A</v>
      </c>
      <c r="L81" s="38" t="e">
        <f t="shared" si="25"/>
        <v>#N/A</v>
      </c>
      <c r="M81" s="35" t="e">
        <f>SUM($J$5:J81)</f>
        <v>#N/A</v>
      </c>
      <c r="N81" s="35" t="e">
        <f>SUM($K$5:K81)</f>
        <v>#N/A</v>
      </c>
      <c r="O81" s="38" t="e">
        <f t="shared" si="26"/>
        <v>#N/A</v>
      </c>
      <c r="P81" s="43" t="e">
        <f t="shared" si="16"/>
        <v>#N/A</v>
      </c>
      <c r="Q81" s="44" t="e">
        <f t="shared" si="17"/>
        <v>#N/A</v>
      </c>
      <c r="R81" s="45" t="e">
        <f t="shared" si="27"/>
        <v>#N/A</v>
      </c>
      <c r="U81" s="7"/>
      <c r="V81" s="16"/>
      <c r="W81" s="16"/>
      <c r="X81" s="6"/>
    </row>
    <row r="82" spans="1:24" x14ac:dyDescent="0.25">
      <c r="D82" s="4" t="e">
        <f t="shared" si="21"/>
        <v>#N/A</v>
      </c>
      <c r="E82" s="10" t="e">
        <f t="shared" si="22"/>
        <v>#N/A</v>
      </c>
      <c r="F82" s="30" t="e">
        <f t="shared" si="18"/>
        <v>#N/A</v>
      </c>
      <c r="G82" s="29" t="e" cm="1">
        <f t="array" ref="G82">IF(D82=0, MAX(0, E82-$B$4),GBlackScholes("c",E82,$B$4,D82/365,$B$5,$B$5,F82))</f>
        <v>#N/A</v>
      </c>
      <c r="H82" s="30" t="e">
        <f t="shared" si="19"/>
        <v>#N/A</v>
      </c>
      <c r="I82" s="33" t="e">
        <f t="shared" si="20"/>
        <v>#N/A</v>
      </c>
      <c r="J82" s="35" t="e">
        <f t="shared" si="23"/>
        <v>#N/A</v>
      </c>
      <c r="K82" s="36" t="e">
        <f t="shared" si="24"/>
        <v>#N/A</v>
      </c>
      <c r="L82" s="38" t="e">
        <f t="shared" si="25"/>
        <v>#N/A</v>
      </c>
      <c r="M82" s="35" t="e">
        <f>SUM($J$5:J82)</f>
        <v>#N/A</v>
      </c>
      <c r="N82" s="35" t="e">
        <f>SUM($K$5:K82)</f>
        <v>#N/A</v>
      </c>
      <c r="O82" s="38" t="e">
        <f t="shared" si="26"/>
        <v>#N/A</v>
      </c>
      <c r="P82" s="43" t="e">
        <f t="shared" si="16"/>
        <v>#N/A</v>
      </c>
      <c r="Q82" s="44" t="e">
        <f t="shared" si="17"/>
        <v>#N/A</v>
      </c>
      <c r="R82" s="45" t="e">
        <f t="shared" si="27"/>
        <v>#N/A</v>
      </c>
      <c r="U82" s="7"/>
      <c r="V82" s="16"/>
      <c r="W82" s="16"/>
      <c r="X82" s="6"/>
    </row>
    <row r="83" spans="1:24" x14ac:dyDescent="0.25">
      <c r="D83" s="4" t="e">
        <f t="shared" si="21"/>
        <v>#N/A</v>
      </c>
      <c r="E83" s="10" t="e">
        <f t="shared" si="22"/>
        <v>#N/A</v>
      </c>
      <c r="F83" s="30" t="e">
        <f t="shared" si="18"/>
        <v>#N/A</v>
      </c>
      <c r="G83" s="29" t="e" cm="1">
        <f t="array" ref="G83">IF(D83=0, MAX(0, E83-$B$4),GBlackScholes("c",E83,$B$4,D83/365,$B$5,$B$5,F83))</f>
        <v>#N/A</v>
      </c>
      <c r="H83" s="30" t="e">
        <f t="shared" si="19"/>
        <v>#N/A</v>
      </c>
      <c r="I83" s="33" t="e">
        <f t="shared" si="20"/>
        <v>#N/A</v>
      </c>
      <c r="J83" s="35" t="e">
        <f t="shared" si="23"/>
        <v>#N/A</v>
      </c>
      <c r="K83" s="36" t="e">
        <f t="shared" si="24"/>
        <v>#N/A</v>
      </c>
      <c r="L83" s="38" t="e">
        <f t="shared" si="25"/>
        <v>#N/A</v>
      </c>
      <c r="M83" s="35" t="e">
        <f>SUM($J$5:J83)</f>
        <v>#N/A</v>
      </c>
      <c r="N83" s="35" t="e">
        <f>SUM($K$5:K83)</f>
        <v>#N/A</v>
      </c>
      <c r="O83" s="38" t="e">
        <f t="shared" si="26"/>
        <v>#N/A</v>
      </c>
      <c r="P83" s="43" t="e">
        <f t="shared" si="16"/>
        <v>#N/A</v>
      </c>
      <c r="Q83" s="44" t="e">
        <f t="shared" si="17"/>
        <v>#N/A</v>
      </c>
      <c r="R83" s="45" t="e">
        <f t="shared" si="27"/>
        <v>#N/A</v>
      </c>
      <c r="U83" s="7"/>
      <c r="V83" s="16"/>
      <c r="W83" s="16"/>
      <c r="X83" s="6"/>
    </row>
    <row r="84" spans="1:24" x14ac:dyDescent="0.25">
      <c r="D84" s="4" t="e">
        <f t="shared" si="21"/>
        <v>#N/A</v>
      </c>
      <c r="E84" s="10" t="e">
        <f t="shared" si="22"/>
        <v>#N/A</v>
      </c>
      <c r="F84" s="30" t="e">
        <f t="shared" si="18"/>
        <v>#N/A</v>
      </c>
      <c r="G84" s="29" t="e" cm="1">
        <f t="array" ref="G84">IF(D84=0, MAX(0, E84-$B$4),GBlackScholes("c",E84,$B$4,D84/365,$B$5,$B$5,F84))</f>
        <v>#N/A</v>
      </c>
      <c r="H84" s="30" t="e">
        <f t="shared" si="19"/>
        <v>#N/A</v>
      </c>
      <c r="I84" s="33" t="e">
        <f t="shared" si="20"/>
        <v>#N/A</v>
      </c>
      <c r="J84" s="35" t="e">
        <f t="shared" si="23"/>
        <v>#N/A</v>
      </c>
      <c r="K84" s="36" t="e">
        <f t="shared" si="24"/>
        <v>#N/A</v>
      </c>
      <c r="L84" s="38" t="e">
        <f t="shared" si="25"/>
        <v>#N/A</v>
      </c>
      <c r="M84" s="35" t="e">
        <f>SUM($J$5:J84)</f>
        <v>#N/A</v>
      </c>
      <c r="N84" s="35" t="e">
        <f>SUM($K$5:K84)</f>
        <v>#N/A</v>
      </c>
      <c r="O84" s="38" t="e">
        <f t="shared" si="26"/>
        <v>#N/A</v>
      </c>
      <c r="P84" s="43" t="e">
        <f t="shared" si="16"/>
        <v>#N/A</v>
      </c>
      <c r="Q84" s="44" t="e">
        <f t="shared" si="17"/>
        <v>#N/A</v>
      </c>
      <c r="R84" s="45" t="e">
        <f t="shared" si="27"/>
        <v>#N/A</v>
      </c>
      <c r="U84" s="7"/>
      <c r="V84" s="16"/>
      <c r="W84" s="16"/>
      <c r="X84" s="6"/>
    </row>
    <row r="85" spans="1:24" x14ac:dyDescent="0.25">
      <c r="D85" s="4" t="e">
        <f t="shared" si="21"/>
        <v>#N/A</v>
      </c>
      <c r="E85" s="10" t="e">
        <f t="shared" si="22"/>
        <v>#N/A</v>
      </c>
      <c r="F85" s="30" t="e">
        <f t="shared" si="18"/>
        <v>#N/A</v>
      </c>
      <c r="G85" s="29" t="e" cm="1">
        <f t="array" ref="G85">IF(D85=0, MAX(0, E85-$B$4),GBlackScholes("c",E85,$B$4,D85/365,$B$5,$B$5,F85))</f>
        <v>#N/A</v>
      </c>
      <c r="H85" s="30" t="e">
        <f t="shared" si="19"/>
        <v>#N/A</v>
      </c>
      <c r="I85" s="33" t="e">
        <f t="shared" si="20"/>
        <v>#N/A</v>
      </c>
      <c r="J85" s="35" t="e">
        <f t="shared" si="23"/>
        <v>#N/A</v>
      </c>
      <c r="K85" s="36" t="e">
        <f t="shared" si="24"/>
        <v>#N/A</v>
      </c>
      <c r="L85" s="38" t="e">
        <f t="shared" si="25"/>
        <v>#N/A</v>
      </c>
      <c r="M85" s="35" t="e">
        <f>SUM($J$5:J85)</f>
        <v>#N/A</v>
      </c>
      <c r="N85" s="35" t="e">
        <f>SUM($K$5:K85)</f>
        <v>#N/A</v>
      </c>
      <c r="O85" s="38" t="e">
        <f t="shared" si="26"/>
        <v>#N/A</v>
      </c>
      <c r="P85" s="43" t="e">
        <f t="shared" si="16"/>
        <v>#N/A</v>
      </c>
      <c r="Q85" s="44" t="e">
        <f t="shared" si="17"/>
        <v>#N/A</v>
      </c>
      <c r="R85" s="45" t="e">
        <f t="shared" si="27"/>
        <v>#N/A</v>
      </c>
      <c r="U85" s="7"/>
      <c r="V85" s="16"/>
      <c r="W85" s="16"/>
      <c r="X85" s="6"/>
    </row>
    <row r="86" spans="1:24" x14ac:dyDescent="0.25">
      <c r="P86" s="43" t="e">
        <f t="shared" si="16"/>
        <v>#N/A</v>
      </c>
      <c r="Q86" s="44" t="e">
        <f t="shared" si="17"/>
        <v>#N/A</v>
      </c>
      <c r="R86" s="45" t="e">
        <f t="shared" si="27"/>
        <v>#N/A</v>
      </c>
      <c r="U86" s="7"/>
      <c r="V86" s="16"/>
      <c r="W86" s="16"/>
      <c r="X86" s="6"/>
    </row>
    <row r="87" spans="1:24" x14ac:dyDescent="0.25">
      <c r="P87" s="43" t="e">
        <f t="shared" si="16"/>
        <v>#N/A</v>
      </c>
      <c r="Q87" s="44" t="e">
        <f t="shared" si="17"/>
        <v>#N/A</v>
      </c>
      <c r="R87" s="45" t="e">
        <f t="shared" si="27"/>
        <v>#N/A</v>
      </c>
      <c r="U87" s="7"/>
      <c r="V87" s="16"/>
      <c r="W87" s="16"/>
      <c r="X87" s="6"/>
    </row>
    <row r="88" spans="1:24" x14ac:dyDescent="0.25">
      <c r="P88" s="43" t="e">
        <f t="shared" si="16"/>
        <v>#N/A</v>
      </c>
      <c r="Q88" s="44" t="e">
        <f t="shared" si="17"/>
        <v>#N/A</v>
      </c>
      <c r="R88" s="45" t="e">
        <f t="shared" si="27"/>
        <v>#N/A</v>
      </c>
      <c r="U88" s="7"/>
      <c r="V88" s="16"/>
      <c r="W88" s="16"/>
      <c r="X88" s="6"/>
    </row>
    <row r="89" spans="1:24" x14ac:dyDescent="0.25">
      <c r="P89" s="43" t="e">
        <f t="shared" si="16"/>
        <v>#N/A</v>
      </c>
      <c r="Q89" s="44" t="e">
        <f t="shared" si="17"/>
        <v>#N/A</v>
      </c>
      <c r="R89" s="45" t="e">
        <f t="shared" si="27"/>
        <v>#N/A</v>
      </c>
      <c r="U89" s="7"/>
      <c r="V89" s="16"/>
      <c r="W89" s="16"/>
      <c r="X89" s="6"/>
    </row>
    <row r="90" spans="1:24" x14ac:dyDescent="0.25">
      <c r="P90" s="43" t="e">
        <f t="shared" si="16"/>
        <v>#N/A</v>
      </c>
      <c r="Q90" s="44" t="e">
        <f t="shared" si="17"/>
        <v>#N/A</v>
      </c>
      <c r="R90" s="45" t="e">
        <f t="shared" si="27"/>
        <v>#N/A</v>
      </c>
      <c r="U90" s="7"/>
      <c r="V90" s="16"/>
      <c r="W90" s="16"/>
      <c r="X90" s="6"/>
    </row>
    <row r="91" spans="1:24" x14ac:dyDescent="0.25">
      <c r="P91" s="43" t="e">
        <f t="shared" si="16"/>
        <v>#N/A</v>
      </c>
      <c r="Q91" s="44" t="e">
        <f t="shared" si="17"/>
        <v>#N/A</v>
      </c>
      <c r="R91" s="45" t="e">
        <f t="shared" si="27"/>
        <v>#N/A</v>
      </c>
      <c r="U91" s="7"/>
      <c r="V91" s="16"/>
      <c r="W91" s="16"/>
      <c r="X91" s="6"/>
    </row>
    <row r="92" spans="1:24" x14ac:dyDescent="0.25">
      <c r="P92" s="43" t="e">
        <f t="shared" si="16"/>
        <v>#N/A</v>
      </c>
      <c r="Q92" s="44" t="e">
        <f t="shared" si="17"/>
        <v>#N/A</v>
      </c>
      <c r="R92" s="45" t="e">
        <f t="shared" si="27"/>
        <v>#N/A</v>
      </c>
    </row>
    <row r="95" spans="1:24" x14ac:dyDescent="0.25">
      <c r="A95" s="2" t="s">
        <v>32</v>
      </c>
    </row>
    <row r="96" spans="1:24" x14ac:dyDescent="0.25">
      <c r="A96" s="2" t="s">
        <v>33</v>
      </c>
    </row>
  </sheetData>
  <mergeCells count="5">
    <mergeCell ref="A2:B2"/>
    <mergeCell ref="A10:B10"/>
    <mergeCell ref="A11:B11"/>
    <mergeCell ref="J2:L2"/>
    <mergeCell ref="M2:O2"/>
  </mergeCells>
  <conditionalFormatting sqref="D2:G2 A1:C1048576 D3:O1048576 P3:R23 P1:XFD1 J2:S2 P31:S1048576 T2:XFD1048576 S3:S30">
    <cfRule type="expression" dxfId="1" priority="1">
      <formula>ISNA(A1)</formula>
    </cfRule>
    <cfRule type="expression" dxfId="0" priority="2">
      <formula>"Formula = ISNA($d$93)"</formula>
    </cfRule>
  </conditionalFormatting>
  <dataValidations count="1">
    <dataValidation type="list" allowBlank="1" showInputMessage="1" showErrorMessage="1" sqref="A11:B11" xr:uid="{C479A3BF-0D02-4B6A-A144-0347A170DF7E}">
      <formula1>$A$95:$A$96</formula1>
    </dataValidation>
  </dataValidations>
  <pageMargins left="0.7" right="0.7" top="0.75" bottom="0.75" header="0.3" footer="0.3"/>
  <drawing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C43C9C-DD0E-4C6B-8A8F-5521F417BB4A}">
  <sheetPr codeName="Sheet18"/>
  <dimension ref="B1:BZ92"/>
  <sheetViews>
    <sheetView showGridLines="0" zoomScale="80" zoomScaleNormal="80" workbookViewId="0">
      <selection activeCell="D22" sqref="D22"/>
    </sheetView>
  </sheetViews>
  <sheetFormatPr defaultRowHeight="15" x14ac:dyDescent="0.25"/>
  <cols>
    <col min="1" max="2" width="9.140625" style="2"/>
    <col min="3" max="3" width="12.140625" style="2" bestFit="1" customWidth="1"/>
    <col min="4" max="6" width="9.140625" style="2"/>
    <col min="7" max="7" width="15.7109375" style="2" customWidth="1"/>
    <col min="8" max="8" width="14.5703125" style="2" customWidth="1"/>
    <col min="9" max="9" width="11.28515625" style="2" customWidth="1"/>
    <col min="10" max="10" width="10.5703125" style="2" bestFit="1" customWidth="1"/>
    <col min="11" max="13" width="9.140625" style="2"/>
    <col min="14" max="14" width="10.7109375" style="2" bestFit="1" customWidth="1"/>
    <col min="15" max="15" width="10.28515625" style="2" bestFit="1" customWidth="1"/>
    <col min="16" max="16" width="9.140625" style="2"/>
    <col min="17" max="17" width="11.5703125" style="2" bestFit="1" customWidth="1"/>
    <col min="18" max="18" width="21.5703125" style="2" bestFit="1" customWidth="1"/>
    <col min="19" max="19" width="9.140625" style="2"/>
    <col min="20" max="20" width="13.140625" style="2" bestFit="1" customWidth="1"/>
    <col min="21" max="50" width="9.140625" style="2"/>
    <col min="51" max="52" width="2.28515625" style="2" bestFit="1" customWidth="1"/>
    <col min="53" max="54" width="3.42578125" style="2" bestFit="1" customWidth="1"/>
    <col min="55" max="56" width="4.42578125" style="2" bestFit="1" customWidth="1"/>
    <col min="57" max="58" width="5.5703125" style="2" bestFit="1" customWidth="1"/>
    <col min="59" max="60" width="6.5703125" style="2" bestFit="1" customWidth="1"/>
    <col min="61" max="61" width="7.7109375" style="2" bestFit="1" customWidth="1"/>
    <col min="62" max="62" width="9.85546875" style="2" bestFit="1" customWidth="1"/>
    <col min="63" max="64" width="8.7109375" style="2" bestFit="1" customWidth="1"/>
    <col min="65" max="66" width="9.85546875" style="2" bestFit="1" customWidth="1"/>
    <col min="67" max="68" width="10.85546875" style="2" bestFit="1" customWidth="1"/>
    <col min="69" max="70" width="12" style="2" bestFit="1" customWidth="1"/>
    <col min="71" max="16384" width="9.140625" style="2"/>
  </cols>
  <sheetData>
    <row r="1" spans="3:64" x14ac:dyDescent="0.25">
      <c r="C1" s="2" t="s">
        <v>2</v>
      </c>
      <c r="D1" s="2">
        <v>50</v>
      </c>
    </row>
    <row r="2" spans="3:64" x14ac:dyDescent="0.25">
      <c r="C2" s="2" t="s">
        <v>3</v>
      </c>
      <c r="D2" s="2">
        <v>50</v>
      </c>
    </row>
    <row r="3" spans="3:64" x14ac:dyDescent="0.25">
      <c r="C3" s="2" t="s">
        <v>4</v>
      </c>
      <c r="D3" s="2">
        <v>0</v>
      </c>
      <c r="J3" s="56">
        <v>45492</v>
      </c>
      <c r="K3" s="2">
        <f>J3-J4</f>
        <v>70</v>
      </c>
      <c r="AY3" s="2">
        <v>3</v>
      </c>
    </row>
    <row r="4" spans="3:64" x14ac:dyDescent="0.25">
      <c r="C4" s="2" t="s">
        <v>5</v>
      </c>
      <c r="D4" s="2">
        <v>0.25</v>
      </c>
      <c r="J4" s="57">
        <v>45422</v>
      </c>
      <c r="K4" s="2">
        <f>K3/365</f>
        <v>0.19178082191780821</v>
      </c>
      <c r="AY4" s="2">
        <v>3</v>
      </c>
      <c r="AZ4" s="2">
        <f>AY3*AY4</f>
        <v>9</v>
      </c>
    </row>
    <row r="5" spans="3:64" x14ac:dyDescent="0.25">
      <c r="C5" s="2" t="s">
        <v>6</v>
      </c>
      <c r="D5" s="8">
        <f>1/52</f>
        <v>1.9230769230769232E-2</v>
      </c>
      <c r="AY5" s="2">
        <v>3</v>
      </c>
      <c r="BA5" s="2">
        <f>AY5*AZ4</f>
        <v>27</v>
      </c>
    </row>
    <row r="6" spans="3:64" x14ac:dyDescent="0.25">
      <c r="AY6" s="2">
        <v>3</v>
      </c>
      <c r="BB6" s="2">
        <f>AY6*BA5</f>
        <v>81</v>
      </c>
    </row>
    <row r="7" spans="3:64" x14ac:dyDescent="0.25">
      <c r="AY7" s="2">
        <v>3</v>
      </c>
      <c r="BC7" s="2">
        <f>AY7*BB6</f>
        <v>243</v>
      </c>
    </row>
    <row r="8" spans="3:64" x14ac:dyDescent="0.25">
      <c r="AY8" s="2">
        <v>3</v>
      </c>
      <c r="BD8" s="2">
        <f>AY8*BC7</f>
        <v>729</v>
      </c>
    </row>
    <row r="9" spans="3:64" ht="15" customHeight="1" x14ac:dyDescent="0.25">
      <c r="F9" s="1" t="s">
        <v>7</v>
      </c>
      <c r="G9" s="17" t="s">
        <v>18</v>
      </c>
      <c r="H9" s="18" t="s">
        <v>17</v>
      </c>
      <c r="I9" s="1" t="s">
        <v>1</v>
      </c>
      <c r="J9" s="26"/>
      <c r="K9" s="26" t="s">
        <v>10</v>
      </c>
      <c r="L9" s="26"/>
      <c r="M9" s="26"/>
      <c r="N9" s="27"/>
      <c r="AY9" s="2">
        <v>3</v>
      </c>
      <c r="BE9" s="2">
        <f>AY9*BD8</f>
        <v>2187</v>
      </c>
    </row>
    <row r="10" spans="3:64" x14ac:dyDescent="0.25">
      <c r="F10" s="1"/>
      <c r="G10" s="17"/>
      <c r="H10" s="18"/>
      <c r="I10" s="1"/>
      <c r="J10" s="12" t="s">
        <v>8</v>
      </c>
      <c r="K10" s="12" t="s">
        <v>16</v>
      </c>
      <c r="L10" s="12" t="s">
        <v>9</v>
      </c>
      <c r="M10" s="12" t="s">
        <v>13</v>
      </c>
      <c r="N10" s="21" t="s">
        <v>11</v>
      </c>
      <c r="O10" s="12" t="s">
        <v>34</v>
      </c>
      <c r="Q10" s="3" t="s">
        <v>15</v>
      </c>
      <c r="R10" s="3" t="str">
        <f>Table22[[#Headers],[Black-Scholes Straddle]]</f>
        <v>Black-Scholes Straddle</v>
      </c>
      <c r="S10" s="3" t="str">
        <f>Table22[[#Headers],[Approximated Straddle]]</f>
        <v>Approximated Straddle</v>
      </c>
      <c r="T10" s="3" t="str">
        <f>Table22[[#Headers],[Error]]</f>
        <v>Error</v>
      </c>
      <c r="AY10" s="2">
        <v>3</v>
      </c>
      <c r="BF10" s="2">
        <f>AY10*BE9</f>
        <v>6561</v>
      </c>
    </row>
    <row r="11" spans="3:64" x14ac:dyDescent="0.25">
      <c r="F11" s="19">
        <v>0.1</v>
      </c>
      <c r="G11" s="4">
        <f t="shared" ref="G11:G74" si="0">N11*2</f>
        <v>0.55322897012504146</v>
      </c>
      <c r="H11" s="4">
        <f t="shared" ref="H11:H74" si="1">0.8*$D$1*F11*SQRT($D$5)</f>
        <v>0.55470019622522915</v>
      </c>
      <c r="I11" s="6">
        <f>H11/G11-1</f>
        <v>2.6593439238280503E-3</v>
      </c>
      <c r="J11" s="22" cm="1">
        <f t="array" ref="J11">D_one($D$1,$D$2,$D$5,$D$3,$D$3,F11)</f>
        <v>6.9337524528153647E-3</v>
      </c>
      <c r="K11" s="23">
        <f>_xlfn.NORM.DIST(J11,0,1,TRUE)</f>
        <v>0.50276614485062521</v>
      </c>
      <c r="L11" s="24">
        <f t="shared" ref="L11:L74" si="2">J11-(F11*SQRT($D$5))</f>
        <v>-6.9337524528153647E-3</v>
      </c>
      <c r="M11" s="23">
        <f>_xlfn.NORM.DIST(L11,0,1,TRUE)</f>
        <v>0.49723385514937479</v>
      </c>
      <c r="N11" s="25" cm="1">
        <f t="array" ref="N11">GBlackScholes("c",$D$1,$D$2,$D$5,$D$3,$D$3,F11)</f>
        <v>0.27661448506252073</v>
      </c>
      <c r="O11" s="4">
        <f>N11-($D$1-$D$2)</f>
        <v>0.27661448506252073</v>
      </c>
      <c r="Q11" s="7">
        <f>F11</f>
        <v>0.1</v>
      </c>
      <c r="R11" s="16">
        <f>Table22[[#This Row],[Black-Scholes Straddle]]</f>
        <v>0.55322897012504146</v>
      </c>
      <c r="S11" s="16">
        <f>Table22[[#This Row],[Approximated Straddle]]</f>
        <v>0.55470019622522915</v>
      </c>
      <c r="T11" s="6">
        <f>Table22[[#This Row],[Error]]</f>
        <v>2.6593439238280503E-3</v>
      </c>
      <c r="AY11" s="2">
        <v>3</v>
      </c>
      <c r="BG11" s="2">
        <f>AY11*BF10</f>
        <v>19683</v>
      </c>
    </row>
    <row r="12" spans="3:64" x14ac:dyDescent="0.25">
      <c r="F12" s="20">
        <f>F11+0.1</f>
        <v>0.2</v>
      </c>
      <c r="G12" s="4">
        <f t="shared" si="0"/>
        <v>1.1064313434493711</v>
      </c>
      <c r="H12" s="4">
        <f t="shared" si="1"/>
        <v>1.1094003924504583</v>
      </c>
      <c r="I12" s="6">
        <f t="shared" ref="I12:I75" si="3">H12/G12-1</f>
        <v>2.6834462153169092E-3</v>
      </c>
      <c r="J12" s="22" cm="1">
        <f t="array" ref="J12">D_one($D$1,$D$2,$D$5,$D$3,$D$3,F12)</f>
        <v>1.3867504905630729E-2</v>
      </c>
      <c r="K12" s="23">
        <f t="shared" ref="K12:K92" si="4">_xlfn.NORM.DIST(J12,0,1,TRUE)</f>
        <v>0.50553215671724683</v>
      </c>
      <c r="L12" s="24">
        <f t="shared" si="2"/>
        <v>-1.3867504905630729E-2</v>
      </c>
      <c r="M12" s="23">
        <f t="shared" ref="M12:M92" si="5">_xlfn.NORM.DIST(L12,0,1,TRUE)</f>
        <v>0.49446784328275317</v>
      </c>
      <c r="N12" s="25" cm="1">
        <f t="array" ref="N12">GBlackScholes("c",$D$1,$D$2,$D$5,$D$3,$D$3,F12)</f>
        <v>0.55321567172468555</v>
      </c>
      <c r="O12" s="4">
        <f t="shared" ref="O12:O75" si="6">N12-($D$1-$D$2)</f>
        <v>0.55321567172468555</v>
      </c>
      <c r="Q12" s="7">
        <f t="shared" ref="Q12:Q75" si="7">F12</f>
        <v>0.2</v>
      </c>
      <c r="R12" s="16">
        <f>Table22[[#This Row],[Black-Scholes Straddle]]</f>
        <v>1.1064313434493711</v>
      </c>
      <c r="S12" s="16">
        <f>Table22[[#This Row],[Approximated Straddle]]</f>
        <v>1.1094003924504583</v>
      </c>
      <c r="T12" s="6">
        <f>Table22[[#This Row],[Error]]</f>
        <v>2.6834462153169092E-3</v>
      </c>
      <c r="AY12" s="2">
        <v>3</v>
      </c>
      <c r="BH12" s="2">
        <f>AY12*BG11</f>
        <v>59049</v>
      </c>
    </row>
    <row r="13" spans="3:64" x14ac:dyDescent="0.25">
      <c r="F13" s="20">
        <f t="shared" ref="F13:F76" si="8">F12+0.1</f>
        <v>0.30000000000000004</v>
      </c>
      <c r="G13" s="4">
        <f t="shared" si="0"/>
        <v>1.6595805270081365</v>
      </c>
      <c r="H13" s="4">
        <f t="shared" si="1"/>
        <v>1.6641005886756877</v>
      </c>
      <c r="I13" s="6">
        <f t="shared" si="3"/>
        <v>2.7236169586177805E-3</v>
      </c>
      <c r="J13" s="22" cm="1">
        <f t="array" ref="J13">D_one($D$1,$D$2,$D$5,$D$3,$D$3,F13)</f>
        <v>2.0801257358446096E-2</v>
      </c>
      <c r="K13" s="23">
        <f t="shared" si="4"/>
        <v>0.5082979026350406</v>
      </c>
      <c r="L13" s="24">
        <f t="shared" si="2"/>
        <v>-2.0801257358446096E-2</v>
      </c>
      <c r="M13" s="23">
        <f t="shared" si="5"/>
        <v>0.4917020973649594</v>
      </c>
      <c r="N13" s="25" cm="1">
        <f t="array" ref="N13">GBlackScholes("c",$D$1,$D$2,$D$5,$D$3,$D$3,F13)</f>
        <v>0.82979026350406826</v>
      </c>
      <c r="O13" s="4">
        <f t="shared" si="6"/>
        <v>0.82979026350406826</v>
      </c>
      <c r="Q13" s="7">
        <f t="shared" si="7"/>
        <v>0.30000000000000004</v>
      </c>
      <c r="R13" s="16">
        <f>Table22[[#This Row],[Black-Scholes Straddle]]</f>
        <v>1.6595805270081365</v>
      </c>
      <c r="S13" s="16">
        <f>Table22[[#This Row],[Approximated Straddle]]</f>
        <v>1.6641005886756877</v>
      </c>
      <c r="T13" s="6">
        <f>Table22[[#This Row],[Error]]</f>
        <v>2.7236169586177805E-3</v>
      </c>
      <c r="AY13" s="2">
        <v>3</v>
      </c>
      <c r="BI13" s="2">
        <f>AY13*BH12</f>
        <v>177147</v>
      </c>
    </row>
    <row r="14" spans="3:64" x14ac:dyDescent="0.25">
      <c r="F14" s="20">
        <f t="shared" si="8"/>
        <v>0.4</v>
      </c>
      <c r="G14" s="4">
        <f t="shared" si="0"/>
        <v>2.2126499355074047</v>
      </c>
      <c r="H14" s="4">
        <f t="shared" si="1"/>
        <v>2.2188007849009166</v>
      </c>
      <c r="I14" s="6">
        <f t="shared" si="3"/>
        <v>2.7798565398016173E-3</v>
      </c>
      <c r="J14" s="22" cm="1">
        <f t="array" ref="J14">D_one($D$1,$D$2,$D$5,$D$3,$D$3,F14)</f>
        <v>2.7735009811261459E-2</v>
      </c>
      <c r="K14" s="23">
        <f t="shared" si="4"/>
        <v>0.51106324967753691</v>
      </c>
      <c r="L14" s="24">
        <f t="shared" si="2"/>
        <v>-2.7735009811261459E-2</v>
      </c>
      <c r="M14" s="23">
        <f t="shared" si="5"/>
        <v>0.48893675032246303</v>
      </c>
      <c r="N14" s="25" cm="1">
        <f t="array" ref="N14">GBlackScholes("c",$D$1,$D$2,$D$5,$D$3,$D$3,F14)</f>
        <v>1.1063249677537024</v>
      </c>
      <c r="O14" s="4">
        <f t="shared" si="6"/>
        <v>1.1063249677537024</v>
      </c>
      <c r="Q14" s="7">
        <f t="shared" si="7"/>
        <v>0.4</v>
      </c>
      <c r="R14" s="16">
        <f>Table22[[#This Row],[Black-Scholes Straddle]]</f>
        <v>2.2126499355074047</v>
      </c>
      <c r="S14" s="16">
        <f>Table22[[#This Row],[Approximated Straddle]]</f>
        <v>2.2188007849009166</v>
      </c>
      <c r="T14" s="6">
        <f>Table22[[#This Row],[Error]]</f>
        <v>2.7798565398016173E-3</v>
      </c>
      <c r="AY14" s="2">
        <v>3</v>
      </c>
      <c r="BJ14" s="2">
        <f>AY14*BI13</f>
        <v>531441</v>
      </c>
    </row>
    <row r="15" spans="3:64" x14ac:dyDescent="0.25">
      <c r="F15" s="20">
        <f t="shared" si="8"/>
        <v>0.5</v>
      </c>
      <c r="G15" s="4">
        <f t="shared" si="0"/>
        <v>2.7656129951572961</v>
      </c>
      <c r="H15" s="4">
        <f t="shared" si="1"/>
        <v>2.773500981126146</v>
      </c>
      <c r="I15" s="6">
        <f t="shared" si="3"/>
        <v>2.8521654991722212E-3</v>
      </c>
      <c r="J15" s="22" cm="1">
        <f t="array" ref="J15">D_one($D$1,$D$2,$D$5,$D$3,$D$3,F15)</f>
        <v>3.4668762264076822E-2</v>
      </c>
      <c r="K15" s="23">
        <f t="shared" si="4"/>
        <v>0.51382806497578648</v>
      </c>
      <c r="L15" s="24">
        <f t="shared" si="2"/>
        <v>-3.4668762264076822E-2</v>
      </c>
      <c r="M15" s="23">
        <f t="shared" si="5"/>
        <v>0.48617193502421352</v>
      </c>
      <c r="N15" s="25" cm="1">
        <f t="array" ref="N15">GBlackScholes("c",$D$1,$D$2,$D$5,$D$3,$D$3,F15)</f>
        <v>1.382806497578648</v>
      </c>
      <c r="O15" s="4">
        <f t="shared" si="6"/>
        <v>1.382806497578648</v>
      </c>
      <c r="Q15" s="7">
        <f t="shared" si="7"/>
        <v>0.5</v>
      </c>
      <c r="R15" s="16">
        <f>Table22[[#This Row],[Black-Scholes Straddle]]</f>
        <v>2.7656129951572961</v>
      </c>
      <c r="S15" s="16">
        <f>Table22[[#This Row],[Approximated Straddle]]</f>
        <v>2.773500981126146</v>
      </c>
      <c r="T15" s="6">
        <f>Table22[[#This Row],[Error]]</f>
        <v>2.8521654991722212E-3</v>
      </c>
      <c r="AY15" s="2">
        <v>3</v>
      </c>
      <c r="BK15" s="2">
        <f>AY15*BJ14</f>
        <v>1594323</v>
      </c>
    </row>
    <row r="16" spans="3:64" x14ac:dyDescent="0.25">
      <c r="F16" s="20">
        <f t="shared" si="8"/>
        <v>0.6</v>
      </c>
      <c r="G16" s="4">
        <f t="shared" si="0"/>
        <v>3.3184431475023537</v>
      </c>
      <c r="H16" s="4">
        <f t="shared" si="1"/>
        <v>3.3282011773513749</v>
      </c>
      <c r="I16" s="6">
        <f t="shared" si="3"/>
        <v>2.9405445310599632E-3</v>
      </c>
      <c r="J16" s="22" cm="1">
        <f t="array" ref="J16">D_one($D$1,$D$2,$D$5,$D$3,$D$3,F16)</f>
        <v>4.1602514716892185E-2</v>
      </c>
      <c r="K16" s="23">
        <f t="shared" si="4"/>
        <v>0.51659221573751168</v>
      </c>
      <c r="L16" s="24">
        <f t="shared" si="2"/>
        <v>-4.1602514716892185E-2</v>
      </c>
      <c r="M16" s="23">
        <f t="shared" si="5"/>
        <v>0.48340778426248832</v>
      </c>
      <c r="N16" s="25" cm="1">
        <f t="array" ref="N16">GBlackScholes("c",$D$1,$D$2,$D$5,$D$3,$D$3,F16)</f>
        <v>1.6592215737511768</v>
      </c>
      <c r="O16" s="4">
        <f t="shared" si="6"/>
        <v>1.6592215737511768</v>
      </c>
      <c r="Q16" s="7">
        <f t="shared" si="7"/>
        <v>0.6</v>
      </c>
      <c r="R16" s="16">
        <f>Table22[[#This Row],[Black-Scholes Straddle]]</f>
        <v>3.3184431475023537</v>
      </c>
      <c r="S16" s="16">
        <f>Table22[[#This Row],[Approximated Straddle]]</f>
        <v>3.3282011773513749</v>
      </c>
      <c r="T16" s="6">
        <f>Table22[[#This Row],[Error]]</f>
        <v>2.9405445310599632E-3</v>
      </c>
      <c r="AY16" s="2">
        <v>3</v>
      </c>
      <c r="BL16" s="2">
        <f>AY16*BK15</f>
        <v>4782969</v>
      </c>
    </row>
    <row r="17" spans="6:70" x14ac:dyDescent="0.25">
      <c r="F17" s="20">
        <f t="shared" si="8"/>
        <v>0.7</v>
      </c>
      <c r="G17" s="4">
        <f t="shared" si="0"/>
        <v>3.8711138532481426</v>
      </c>
      <c r="H17" s="4">
        <f t="shared" si="1"/>
        <v>3.8829013735766038</v>
      </c>
      <c r="I17" s="6">
        <f t="shared" si="3"/>
        <v>3.0449944835826415E-3</v>
      </c>
      <c r="J17" s="22" cm="1">
        <f t="array" ref="J17">D_one($D$1,$D$2,$D$5,$D$3,$D$3,F17)</f>
        <v>4.8536267169707548E-2</v>
      </c>
      <c r="K17" s="23">
        <f t="shared" si="4"/>
        <v>0.51935556926624071</v>
      </c>
      <c r="L17" s="24">
        <f t="shared" si="2"/>
        <v>-4.8536267169707548E-2</v>
      </c>
      <c r="M17" s="23">
        <f t="shared" si="5"/>
        <v>0.48064443073375929</v>
      </c>
      <c r="N17" s="25" cm="1">
        <f t="array" ref="N17">GBlackScholes("c",$D$1,$D$2,$D$5,$D$3,$D$3,F17)</f>
        <v>1.9355569266240713</v>
      </c>
      <c r="O17" s="4">
        <f t="shared" si="6"/>
        <v>1.9355569266240713</v>
      </c>
      <c r="Q17" s="7">
        <f t="shared" si="7"/>
        <v>0.7</v>
      </c>
      <c r="R17" s="16">
        <f>Table22[[#This Row],[Black-Scholes Straddle]]</f>
        <v>3.8711138532481426</v>
      </c>
      <c r="S17" s="16">
        <f>Table22[[#This Row],[Approximated Straddle]]</f>
        <v>3.8829013735766038</v>
      </c>
      <c r="T17" s="6">
        <f>Table22[[#This Row],[Error]]</f>
        <v>3.0449944835826415E-3</v>
      </c>
      <c r="AY17" s="2">
        <v>3</v>
      </c>
      <c r="BM17" s="2">
        <f>AY17*BL16</f>
        <v>14348907</v>
      </c>
    </row>
    <row r="18" spans="6:70" x14ac:dyDescent="0.25">
      <c r="F18" s="20">
        <f t="shared" si="8"/>
        <v>0.79999999999999993</v>
      </c>
      <c r="G18" s="4">
        <f t="shared" si="0"/>
        <v>4.4235985960835222</v>
      </c>
      <c r="H18" s="4">
        <f t="shared" si="1"/>
        <v>4.4376015698018323</v>
      </c>
      <c r="I18" s="6">
        <f t="shared" si="3"/>
        <v>3.1655163582671175E-3</v>
      </c>
      <c r="J18" s="22" cm="1">
        <f t="array" ref="J18">D_one($D$1,$D$2,$D$5,$D$3,$D$3,F18)</f>
        <v>5.5470019622522911E-2</v>
      </c>
      <c r="K18" s="23">
        <f t="shared" si="4"/>
        <v>0.52211799298041761</v>
      </c>
      <c r="L18" s="24">
        <f t="shared" si="2"/>
        <v>-5.5470019622522911E-2</v>
      </c>
      <c r="M18" s="23">
        <f t="shared" si="5"/>
        <v>0.47788200701958233</v>
      </c>
      <c r="N18" s="25" cm="1">
        <f t="array" ref="N18">GBlackScholes("c",$D$1,$D$2,$D$5,$D$3,$D$3,F18)</f>
        <v>2.2117992980417611</v>
      </c>
      <c r="O18" s="4">
        <f t="shared" si="6"/>
        <v>2.2117992980417611</v>
      </c>
      <c r="Q18" s="7">
        <f t="shared" si="7"/>
        <v>0.79999999999999993</v>
      </c>
      <c r="R18" s="16">
        <f>Table22[[#This Row],[Black-Scholes Straddle]]</f>
        <v>4.4235985960835222</v>
      </c>
      <c r="S18" s="16">
        <f>Table22[[#This Row],[Approximated Straddle]]</f>
        <v>4.4376015698018323</v>
      </c>
      <c r="T18" s="6">
        <f>Table22[[#This Row],[Error]]</f>
        <v>3.1655163582671175E-3</v>
      </c>
      <c r="AY18" s="2">
        <v>3</v>
      </c>
      <c r="BN18" s="2">
        <f>AY18*BM17</f>
        <v>43046721</v>
      </c>
    </row>
    <row r="19" spans="6:70" x14ac:dyDescent="0.25">
      <c r="F19" s="20">
        <f t="shared" si="8"/>
        <v>0.89999999999999991</v>
      </c>
      <c r="G19" s="4">
        <f t="shared" si="0"/>
        <v>4.9758708864970913</v>
      </c>
      <c r="H19" s="4">
        <f t="shared" si="1"/>
        <v>4.9923017660270625</v>
      </c>
      <c r="I19" s="6">
        <f t="shared" si="3"/>
        <v>3.3021113097124744E-3</v>
      </c>
      <c r="J19" s="22" cm="1">
        <f t="array" ref="J19">D_one($D$1,$D$2,$D$5,$D$3,$D$3,F19)</f>
        <v>6.2403772075338267E-2</v>
      </c>
      <c r="K19" s="23">
        <f t="shared" si="4"/>
        <v>0.52487935443248546</v>
      </c>
      <c r="L19" s="24">
        <f t="shared" si="2"/>
        <v>-6.240377207533828E-2</v>
      </c>
      <c r="M19" s="23">
        <f t="shared" si="5"/>
        <v>0.47512064556751449</v>
      </c>
      <c r="N19" s="25" cm="1">
        <f t="array" ref="N19">GBlackScholes("c",$D$1,$D$2,$D$5,$D$3,$D$3,F19)</f>
        <v>2.4879354432485457</v>
      </c>
      <c r="O19" s="4">
        <f t="shared" si="6"/>
        <v>2.4879354432485457</v>
      </c>
      <c r="Q19" s="7">
        <f t="shared" si="7"/>
        <v>0.89999999999999991</v>
      </c>
      <c r="R19" s="16">
        <f>Table22[[#This Row],[Black-Scholes Straddle]]</f>
        <v>4.9758708864970913</v>
      </c>
      <c r="S19" s="16">
        <f>Table22[[#This Row],[Approximated Straddle]]</f>
        <v>4.9923017660270625</v>
      </c>
      <c r="T19" s="6">
        <f>Table22[[#This Row],[Error]]</f>
        <v>3.3021113097124744E-3</v>
      </c>
      <c r="AY19" s="2">
        <v>3</v>
      </c>
      <c r="BO19" s="2">
        <f>AY19*BN18</f>
        <v>129140163</v>
      </c>
    </row>
    <row r="20" spans="6:70" x14ac:dyDescent="0.25">
      <c r="F20" s="20">
        <f t="shared" si="8"/>
        <v>0.99999999999999989</v>
      </c>
      <c r="G20" s="4">
        <f t="shared" si="0"/>
        <v>5.5279042655872912</v>
      </c>
      <c r="H20" s="4">
        <f t="shared" si="1"/>
        <v>5.5470019622522901</v>
      </c>
      <c r="I20" s="6">
        <f t="shared" si="3"/>
        <v>3.4547806451510343E-3</v>
      </c>
      <c r="J20" s="22" cm="1">
        <f t="array" ref="J20">D_one($D$1,$D$2,$D$5,$D$3,$D$3,F20)</f>
        <v>6.933752452815363E-2</v>
      </c>
      <c r="K20" s="23">
        <f t="shared" si="4"/>
        <v>0.52763952132793657</v>
      </c>
      <c r="L20" s="24">
        <f t="shared" si="2"/>
        <v>-6.933752452815363E-2</v>
      </c>
      <c r="M20" s="23">
        <f t="shared" si="5"/>
        <v>0.47236047867206349</v>
      </c>
      <c r="N20" s="25" cm="1">
        <f t="array" ref="N20">GBlackScholes("c",$D$1,$D$2,$D$5,$D$3,$D$3,F20)</f>
        <v>2.7639521327936456</v>
      </c>
      <c r="O20" s="4">
        <f t="shared" si="6"/>
        <v>2.7639521327936456</v>
      </c>
      <c r="Q20" s="7">
        <f t="shared" si="7"/>
        <v>0.99999999999999989</v>
      </c>
      <c r="R20" s="16">
        <f>Table22[[#This Row],[Black-Scholes Straddle]]</f>
        <v>5.5279042655872912</v>
      </c>
      <c r="S20" s="16">
        <f>Table22[[#This Row],[Approximated Straddle]]</f>
        <v>5.5470019622522901</v>
      </c>
      <c r="T20" s="6">
        <f>Table22[[#This Row],[Error]]</f>
        <v>3.4547806451510343E-3</v>
      </c>
      <c r="AY20" s="2">
        <v>3</v>
      </c>
      <c r="BP20" s="2">
        <f>AY20*BO19</f>
        <v>387420489</v>
      </c>
    </row>
    <row r="21" spans="6:70" x14ac:dyDescent="0.25">
      <c r="F21" s="20">
        <f t="shared" si="8"/>
        <v>1.0999999999999999</v>
      </c>
      <c r="G21" s="4">
        <f t="shared" si="0"/>
        <v>6.0796723088652804</v>
      </c>
      <c r="H21" s="4">
        <f t="shared" si="1"/>
        <v>6.1017021584775195</v>
      </c>
      <c r="I21" s="6">
        <f t="shared" si="3"/>
        <v>3.6235258239354362E-3</v>
      </c>
      <c r="J21" s="22" cm="1">
        <f t="array" ref="J21">D_one($D$1,$D$2,$D$5,$D$3,$D$3,F21)</f>
        <v>7.6271276980968999E-2</v>
      </c>
      <c r="K21" s="23">
        <f t="shared" si="4"/>
        <v>0.5303983615443264</v>
      </c>
      <c r="L21" s="24">
        <f t="shared" si="2"/>
        <v>-7.6271276980968999E-2</v>
      </c>
      <c r="M21" s="23">
        <f t="shared" si="5"/>
        <v>0.4696016384556736</v>
      </c>
      <c r="N21" s="25" cm="1">
        <f t="array" ref="N21">GBlackScholes("c",$D$1,$D$2,$D$5,$D$3,$D$3,F21)</f>
        <v>3.0398361544326402</v>
      </c>
      <c r="O21" s="4">
        <f t="shared" si="6"/>
        <v>3.0398361544326402</v>
      </c>
      <c r="Q21" s="7">
        <f t="shared" si="7"/>
        <v>1.0999999999999999</v>
      </c>
      <c r="R21" s="16">
        <f>Table22[[#This Row],[Black-Scholes Straddle]]</f>
        <v>6.0796723088652804</v>
      </c>
      <c r="S21" s="16">
        <f>Table22[[#This Row],[Approximated Straddle]]</f>
        <v>6.1017021584775195</v>
      </c>
      <c r="T21" s="6">
        <f>Table22[[#This Row],[Error]]</f>
        <v>3.6235258239354362E-3</v>
      </c>
      <c r="AY21" s="2">
        <v>3</v>
      </c>
      <c r="BQ21" s="2">
        <f>AY21*BP20</f>
        <v>1162261467</v>
      </c>
    </row>
    <row r="22" spans="6:70" x14ac:dyDescent="0.25">
      <c r="F22" s="20">
        <f t="shared" si="8"/>
        <v>1.2</v>
      </c>
      <c r="G22" s="4">
        <f t="shared" si="0"/>
        <v>6.6311486300493661</v>
      </c>
      <c r="H22" s="4">
        <f t="shared" si="1"/>
        <v>6.6564023547027498</v>
      </c>
      <c r="I22" s="6">
        <f t="shared" si="3"/>
        <v>3.8083484569997328E-3</v>
      </c>
      <c r="J22" s="22" cm="1">
        <f t="array" ref="J22">D_one($D$1,$D$2,$D$5,$D$3,$D$3,F22)</f>
        <v>8.3205029433784369E-2</v>
      </c>
      <c r="K22" s="23">
        <f t="shared" si="4"/>
        <v>0.53315574315024694</v>
      </c>
      <c r="L22" s="24">
        <f t="shared" si="2"/>
        <v>-8.3205029433784369E-2</v>
      </c>
      <c r="M22" s="23">
        <f t="shared" si="5"/>
        <v>0.46684425684975311</v>
      </c>
      <c r="N22" s="25" cm="1">
        <f t="array" ref="N22">GBlackScholes("c",$D$1,$D$2,$D$5,$D$3,$D$3,F22)</f>
        <v>3.315574315024683</v>
      </c>
      <c r="O22" s="4">
        <f t="shared" si="6"/>
        <v>3.315574315024683</v>
      </c>
      <c r="Q22" s="7">
        <f t="shared" si="7"/>
        <v>1.2</v>
      </c>
      <c r="R22" s="16">
        <f>Table22[[#This Row],[Black-Scholes Straddle]]</f>
        <v>6.6311486300493661</v>
      </c>
      <c r="S22" s="16">
        <f>Table22[[#This Row],[Approximated Straddle]]</f>
        <v>6.6564023547027498</v>
      </c>
      <c r="T22" s="6">
        <f>Table22[[#This Row],[Error]]</f>
        <v>3.8083484569997328E-3</v>
      </c>
      <c r="AY22" s="2">
        <v>3</v>
      </c>
      <c r="BR22" s="2">
        <f>AY22*BQ21</f>
        <v>3486784401</v>
      </c>
    </row>
    <row r="23" spans="6:70" x14ac:dyDescent="0.25">
      <c r="F23" s="20">
        <f t="shared" si="8"/>
        <v>1.3</v>
      </c>
      <c r="G23" s="4">
        <f t="shared" si="0"/>
        <v>7.1823068848504423</v>
      </c>
      <c r="H23" s="4">
        <f t="shared" si="1"/>
        <v>7.2111025509279791</v>
      </c>
      <c r="I23" s="6">
        <f t="shared" si="3"/>
        <v>4.0092503062316709E-3</v>
      </c>
      <c r="J23" s="22" cm="1">
        <f t="array" ref="J23">D_one($D$1,$D$2,$D$5,$D$3,$D$3,F23)</f>
        <v>9.0138781886599739E-2</v>
      </c>
      <c r="K23" s="23">
        <f t="shared" si="4"/>
        <v>0.53591153442425221</v>
      </c>
      <c r="L23" s="24">
        <f t="shared" si="2"/>
        <v>-9.0138781886599739E-2</v>
      </c>
      <c r="M23" s="23">
        <f t="shared" si="5"/>
        <v>0.46408846557574773</v>
      </c>
      <c r="N23" s="25" cm="1">
        <f t="array" ref="N23">GBlackScholes("c",$D$1,$D$2,$D$5,$D$3,$D$3,F23)</f>
        <v>3.5911534424252212</v>
      </c>
      <c r="O23" s="4">
        <f t="shared" si="6"/>
        <v>3.5911534424252212</v>
      </c>
      <c r="Q23" s="7">
        <f t="shared" si="7"/>
        <v>1.3</v>
      </c>
      <c r="R23" s="16">
        <f>Table22[[#This Row],[Black-Scholes Straddle]]</f>
        <v>7.1823068848504423</v>
      </c>
      <c r="S23" s="16">
        <f>Table22[[#This Row],[Approximated Straddle]]</f>
        <v>7.2111025509279791</v>
      </c>
      <c r="T23" s="6">
        <f>Table22[[#This Row],[Error]]</f>
        <v>4.0092503062316709E-3</v>
      </c>
    </row>
    <row r="24" spans="6:70" x14ac:dyDescent="0.25">
      <c r="F24" s="20">
        <f t="shared" si="8"/>
        <v>1.4000000000000001</v>
      </c>
      <c r="G24" s="4">
        <f t="shared" si="0"/>
        <v>7.7331207747471762</v>
      </c>
      <c r="H24" s="4">
        <f t="shared" si="1"/>
        <v>7.7658027471532094</v>
      </c>
      <c r="I24" s="6">
        <f t="shared" si="3"/>
        <v>4.2262332838196581E-3</v>
      </c>
      <c r="J24" s="22" cm="1">
        <f t="array" ref="J24">D_one($D$1,$D$2,$D$5,$D$3,$D$3,F24)</f>
        <v>9.7072534339415109E-2</v>
      </c>
      <c r="K24" s="23">
        <f t="shared" si="4"/>
        <v>0.53866560387373597</v>
      </c>
      <c r="L24" s="24">
        <f t="shared" si="2"/>
        <v>-9.7072534339415109E-2</v>
      </c>
      <c r="M24" s="23">
        <f t="shared" si="5"/>
        <v>0.46133439612626403</v>
      </c>
      <c r="N24" s="25" cm="1">
        <f t="array" ref="N24">GBlackScholes("c",$D$1,$D$2,$D$5,$D$3,$D$3,F24)</f>
        <v>3.8665603873735881</v>
      </c>
      <c r="O24" s="4">
        <f t="shared" si="6"/>
        <v>3.8665603873735881</v>
      </c>
      <c r="Q24" s="7">
        <f t="shared" si="7"/>
        <v>1.4000000000000001</v>
      </c>
      <c r="R24" s="16">
        <f>Table22[[#This Row],[Black-Scholes Straddle]]</f>
        <v>7.7331207747471762</v>
      </c>
      <c r="S24" s="16">
        <f>Table22[[#This Row],[Approximated Straddle]]</f>
        <v>7.7658027471532094</v>
      </c>
      <c r="T24" s="6">
        <f>Table22[[#This Row],[Error]]</f>
        <v>4.2262332838196581E-3</v>
      </c>
    </row>
    <row r="25" spans="6:70" x14ac:dyDescent="0.25">
      <c r="F25" s="20">
        <f t="shared" si="8"/>
        <v>1.5000000000000002</v>
      </c>
      <c r="G25" s="4">
        <f t="shared" si="0"/>
        <v>8.2835640507503694</v>
      </c>
      <c r="H25" s="4">
        <f t="shared" si="1"/>
        <v>8.3205029433784379</v>
      </c>
      <c r="I25" s="6">
        <f t="shared" si="3"/>
        <v>4.4592994515111339E-3</v>
      </c>
      <c r="J25" s="22" cm="1">
        <f t="array" ref="J25">D_one($D$1,$D$2,$D$5,$D$3,$D$3,F25)</f>
        <v>0.10400628679223049</v>
      </c>
      <c r="K25" s="23">
        <f t="shared" si="4"/>
        <v>0.54141782025375185</v>
      </c>
      <c r="L25" s="24">
        <f t="shared" si="2"/>
        <v>-0.10400628679223047</v>
      </c>
      <c r="M25" s="23">
        <f t="shared" si="5"/>
        <v>0.4585821797462481</v>
      </c>
      <c r="N25" s="25" cm="1">
        <f t="array" ref="N25">GBlackScholes("c",$D$1,$D$2,$D$5,$D$3,$D$3,F25)</f>
        <v>4.1417820253751847</v>
      </c>
      <c r="O25" s="4">
        <f t="shared" si="6"/>
        <v>4.1417820253751847</v>
      </c>
      <c r="Q25" s="7">
        <f t="shared" si="7"/>
        <v>1.5000000000000002</v>
      </c>
      <c r="R25" s="16">
        <f>Table22[[#This Row],[Black-Scholes Straddle]]</f>
        <v>8.2835640507503694</v>
      </c>
      <c r="S25" s="16">
        <f>Table22[[#This Row],[Approximated Straddle]]</f>
        <v>8.3205029433784379</v>
      </c>
      <c r="T25" s="6">
        <f>Table22[[#This Row],[Error]]</f>
        <v>4.4592994515111339E-3</v>
      </c>
    </row>
    <row r="26" spans="6:70" x14ac:dyDescent="0.25">
      <c r="F26" s="20">
        <f t="shared" si="8"/>
        <v>1.6000000000000003</v>
      </c>
      <c r="G26" s="4">
        <f t="shared" si="0"/>
        <v>8.8336105171553427</v>
      </c>
      <c r="H26" s="4">
        <f t="shared" si="1"/>
        <v>8.8752031396036681</v>
      </c>
      <c r="I26" s="6">
        <f t="shared" si="3"/>
        <v>4.7084510198349694E-3</v>
      </c>
      <c r="J26" s="22" cm="1">
        <f t="array" ref="J26">D_one($D$1,$D$2,$D$5,$D$3,$D$3,F26)</f>
        <v>0.11094003924504585</v>
      </c>
      <c r="K26" s="23">
        <f t="shared" si="4"/>
        <v>0.54416805258577683</v>
      </c>
      <c r="L26" s="24">
        <f t="shared" si="2"/>
        <v>-0.11094003924504585</v>
      </c>
      <c r="M26" s="23">
        <f t="shared" si="5"/>
        <v>0.45583194741422323</v>
      </c>
      <c r="N26" s="25" cm="1">
        <f t="array" ref="N26">GBlackScholes("c",$D$1,$D$2,$D$5,$D$3,$D$3,F26)</f>
        <v>4.4168052585776714</v>
      </c>
      <c r="O26" s="4">
        <f t="shared" si="6"/>
        <v>4.4168052585776714</v>
      </c>
      <c r="Q26" s="7">
        <f t="shared" si="7"/>
        <v>1.6000000000000003</v>
      </c>
      <c r="R26" s="16">
        <f>Table22[[#This Row],[Black-Scholes Straddle]]</f>
        <v>8.8336105171553427</v>
      </c>
      <c r="S26" s="16">
        <f>Table22[[#This Row],[Approximated Straddle]]</f>
        <v>8.8752031396036681</v>
      </c>
      <c r="T26" s="6">
        <f>Table22[[#This Row],[Error]]</f>
        <v>4.7084510198349694E-3</v>
      </c>
    </row>
    <row r="27" spans="6:70" x14ac:dyDescent="0.25">
      <c r="F27" s="20">
        <f t="shared" si="8"/>
        <v>1.7000000000000004</v>
      </c>
      <c r="G27" s="4">
        <f t="shared" si="0"/>
        <v>9.3832340352816459</v>
      </c>
      <c r="H27" s="4">
        <f t="shared" si="1"/>
        <v>9.4299033358288966</v>
      </c>
      <c r="I27" s="6">
        <f t="shared" si="3"/>
        <v>4.9736903472481497E-3</v>
      </c>
      <c r="J27" s="22" cm="1">
        <f t="array" ref="J27">D_one($D$1,$D$2,$D$5,$D$3,$D$3,F27)</f>
        <v>0.11787379169786122</v>
      </c>
      <c r="K27" s="23">
        <f t="shared" si="4"/>
        <v>0.54691617017640826</v>
      </c>
      <c r="L27" s="24">
        <f t="shared" si="2"/>
        <v>-0.11787379169786122</v>
      </c>
      <c r="M27" s="23">
        <f t="shared" si="5"/>
        <v>0.45308382982359174</v>
      </c>
      <c r="N27" s="25" cm="1">
        <f t="array" ref="N27">GBlackScholes("c",$D$1,$D$2,$D$5,$D$3,$D$3,F27)</f>
        <v>4.691617017640823</v>
      </c>
      <c r="O27" s="4">
        <f t="shared" si="6"/>
        <v>4.691617017640823</v>
      </c>
      <c r="Q27" s="7">
        <f t="shared" si="7"/>
        <v>1.7000000000000004</v>
      </c>
      <c r="R27" s="16">
        <f>Table22[[#This Row],[Black-Scholes Straddle]]</f>
        <v>9.3832340352816459</v>
      </c>
      <c r="S27" s="16">
        <f>Table22[[#This Row],[Approximated Straddle]]</f>
        <v>9.4299033358288966</v>
      </c>
      <c r="T27" s="6">
        <f>Table22[[#This Row],[Error]]</f>
        <v>4.9736903472481497E-3</v>
      </c>
    </row>
    <row r="28" spans="6:70" x14ac:dyDescent="0.25">
      <c r="F28" s="20">
        <f t="shared" si="8"/>
        <v>1.8000000000000005</v>
      </c>
      <c r="G28" s="4">
        <f t="shared" si="0"/>
        <v>9.9324085271989659</v>
      </c>
      <c r="H28" s="4">
        <f t="shared" si="1"/>
        <v>9.9846035320541269</v>
      </c>
      <c r="I28" s="6">
        <f t="shared" si="3"/>
        <v>5.2550199392453756E-3</v>
      </c>
      <c r="J28" s="22" cm="1">
        <f t="array" ref="J28">D_one($D$1,$D$2,$D$5,$D$3,$D$3,F28)</f>
        <v>0.12480754415067657</v>
      </c>
      <c r="K28" s="23">
        <f t="shared" si="4"/>
        <v>0.54966204263599483</v>
      </c>
      <c r="L28" s="24">
        <f t="shared" si="2"/>
        <v>-0.1248075441506766</v>
      </c>
      <c r="M28" s="23">
        <f t="shared" si="5"/>
        <v>0.45033795736400511</v>
      </c>
      <c r="N28" s="25" cm="1">
        <f t="array" ref="N28">GBlackScholes("c",$D$1,$D$2,$D$5,$D$3,$D$3,F28)</f>
        <v>4.966204263599483</v>
      </c>
      <c r="O28" s="4">
        <f t="shared" si="6"/>
        <v>4.966204263599483</v>
      </c>
      <c r="Q28" s="7">
        <f t="shared" si="7"/>
        <v>1.8000000000000005</v>
      </c>
      <c r="R28" s="16">
        <f>Table22[[#This Row],[Black-Scholes Straddle]]</f>
        <v>9.9324085271989659</v>
      </c>
      <c r="S28" s="16">
        <f>Table22[[#This Row],[Approximated Straddle]]</f>
        <v>9.9846035320541269</v>
      </c>
      <c r="T28" s="6">
        <f>Table22[[#This Row],[Error]]</f>
        <v>5.2550199392453756E-3</v>
      </c>
    </row>
    <row r="29" spans="6:70" x14ac:dyDescent="0.25">
      <c r="F29" s="20">
        <f t="shared" si="8"/>
        <v>1.9000000000000006</v>
      </c>
      <c r="G29" s="4">
        <f t="shared" si="0"/>
        <v>10.481107979438725</v>
      </c>
      <c r="H29" s="4">
        <f t="shared" si="1"/>
        <v>10.539303728279357</v>
      </c>
      <c r="I29" s="6">
        <f t="shared" si="3"/>
        <v>5.5524424473822886E-3</v>
      </c>
      <c r="J29" s="22" cm="1">
        <f t="array" ref="J29">D_one($D$1,$D$2,$D$5,$D$3,$D$3,F29)</f>
        <v>0.13174129660349196</v>
      </c>
      <c r="K29" s="23">
        <f t="shared" si="4"/>
        <v>0.55240553989719354</v>
      </c>
      <c r="L29" s="24">
        <f t="shared" si="2"/>
        <v>-0.13174129660349196</v>
      </c>
      <c r="M29" s="23">
        <f t="shared" si="5"/>
        <v>0.44759446010280646</v>
      </c>
      <c r="N29" s="25" cm="1">
        <f t="array" ref="N29">GBlackScholes("c",$D$1,$D$2,$D$5,$D$3,$D$3,F29)</f>
        <v>5.2405539897193627</v>
      </c>
      <c r="O29" s="4">
        <f t="shared" si="6"/>
        <v>5.2405539897193627</v>
      </c>
      <c r="Q29" s="7">
        <f t="shared" si="7"/>
        <v>1.9000000000000006</v>
      </c>
      <c r="R29" s="16">
        <f>Table22[[#This Row],[Black-Scholes Straddle]]</f>
        <v>10.481107979438725</v>
      </c>
      <c r="S29" s="16">
        <f>Table22[[#This Row],[Approximated Straddle]]</f>
        <v>10.539303728279357</v>
      </c>
      <c r="T29" s="6">
        <f>Table22[[#This Row],[Error]]</f>
        <v>5.5524424473822886E-3</v>
      </c>
    </row>
    <row r="30" spans="6:70" x14ac:dyDescent="0.25">
      <c r="F30" s="20">
        <f t="shared" si="8"/>
        <v>2.0000000000000004</v>
      </c>
      <c r="G30" s="4">
        <f t="shared" si="0"/>
        <v>11.02930644668989</v>
      </c>
      <c r="H30" s="4">
        <f t="shared" si="1"/>
        <v>11.094003924504586</v>
      </c>
      <c r="I30" s="6">
        <f t="shared" si="3"/>
        <v>5.8659606682804899E-3</v>
      </c>
      <c r="J30" s="22" cm="1">
        <f t="array" ref="J30">D_one($D$1,$D$2,$D$5,$D$3,$D$3,F30)</f>
        <v>0.13867504905630731</v>
      </c>
      <c r="K30" s="23">
        <f t="shared" si="4"/>
        <v>0.55514653223344945</v>
      </c>
      <c r="L30" s="24">
        <f t="shared" si="2"/>
        <v>-0.13867504905630731</v>
      </c>
      <c r="M30" s="23">
        <f t="shared" si="5"/>
        <v>0.44485346776655055</v>
      </c>
      <c r="N30" s="25" cm="1">
        <f t="array" ref="N30">GBlackScholes("c",$D$1,$D$2,$D$5,$D$3,$D$3,F30)</f>
        <v>5.5146532233449452</v>
      </c>
      <c r="O30" s="4">
        <f t="shared" si="6"/>
        <v>5.5146532233449452</v>
      </c>
      <c r="Q30" s="7">
        <f t="shared" si="7"/>
        <v>2.0000000000000004</v>
      </c>
      <c r="R30" s="16">
        <f>Table22[[#This Row],[Black-Scholes Straddle]]</f>
        <v>11.02930644668989</v>
      </c>
      <c r="S30" s="16">
        <f>Table22[[#This Row],[Approximated Straddle]]</f>
        <v>11.094003924504586</v>
      </c>
      <c r="T30" s="6">
        <f>Table22[[#This Row],[Error]]</f>
        <v>5.8659606682804899E-3</v>
      </c>
    </row>
    <row r="31" spans="6:70" x14ac:dyDescent="0.25">
      <c r="F31" s="20">
        <f t="shared" si="8"/>
        <v>2.1000000000000005</v>
      </c>
      <c r="G31" s="4">
        <f t="shared" si="0"/>
        <v>11.576978055478993</v>
      </c>
      <c r="H31" s="4">
        <f t="shared" si="1"/>
        <v>11.648704120729816</v>
      </c>
      <c r="I31" s="6">
        <f t="shared" si="3"/>
        <v>6.1955775425244219E-3</v>
      </c>
      <c r="J31" s="22" cm="1">
        <f t="array" ref="J31">D_one($D$1,$D$2,$D$5,$D$3,$D$3,F31)</f>
        <v>0.14560880150912267</v>
      </c>
      <c r="K31" s="23">
        <f t="shared" si="4"/>
        <v>0.55788489027739496</v>
      </c>
      <c r="L31" s="24">
        <f t="shared" si="2"/>
        <v>-0.14560880150912273</v>
      </c>
      <c r="M31" s="23">
        <f t="shared" si="5"/>
        <v>0.44211510972260498</v>
      </c>
      <c r="N31" s="25" cm="1">
        <f t="array" ref="N31">GBlackScholes("c",$D$1,$D$2,$D$5,$D$3,$D$3,F31)</f>
        <v>5.7884890277394963</v>
      </c>
      <c r="O31" s="4">
        <f t="shared" si="6"/>
        <v>5.7884890277394963</v>
      </c>
      <c r="Q31" s="7">
        <f t="shared" si="7"/>
        <v>2.1000000000000005</v>
      </c>
      <c r="R31" s="16">
        <f>Table22[[#This Row],[Black-Scholes Straddle]]</f>
        <v>11.576978055478993</v>
      </c>
      <c r="S31" s="16">
        <f>Table22[[#This Row],[Approximated Straddle]]</f>
        <v>11.648704120729816</v>
      </c>
      <c r="T31" s="6">
        <f>Table22[[#This Row],[Error]]</f>
        <v>6.1955775425244219E-3</v>
      </c>
    </row>
    <row r="32" spans="6:70" x14ac:dyDescent="0.25">
      <c r="F32" s="20">
        <f t="shared" si="8"/>
        <v>2.2000000000000006</v>
      </c>
      <c r="G32" s="4">
        <f t="shared" si="0"/>
        <v>12.124097007832496</v>
      </c>
      <c r="H32" s="4">
        <f t="shared" si="1"/>
        <v>12.203404316955044</v>
      </c>
      <c r="I32" s="6">
        <f t="shared" si="3"/>
        <v>6.5412961535455949E-3</v>
      </c>
      <c r="J32" s="22" cm="1">
        <f t="array" ref="J32">D_one($D$1,$D$2,$D$5,$D$3,$D$3,F32)</f>
        <v>0.15254255396193805</v>
      </c>
      <c r="K32" s="23">
        <f t="shared" si="4"/>
        <v>0.56062048503916251</v>
      </c>
      <c r="L32" s="24">
        <f t="shared" si="2"/>
        <v>-0.15254255396193805</v>
      </c>
      <c r="M32" s="23">
        <f t="shared" si="5"/>
        <v>0.43937951496083755</v>
      </c>
      <c r="N32" s="25" cm="1">
        <f t="array" ref="N32">GBlackScholes("c",$D$1,$D$2,$D$5,$D$3,$D$3,F32)</f>
        <v>6.0620485039162482</v>
      </c>
      <c r="O32" s="4">
        <f t="shared" si="6"/>
        <v>6.0620485039162482</v>
      </c>
      <c r="Q32" s="7">
        <f t="shared" si="7"/>
        <v>2.2000000000000006</v>
      </c>
      <c r="R32" s="16">
        <f>Table22[[#This Row],[Black-Scholes Straddle]]</f>
        <v>12.124097007832496</v>
      </c>
      <c r="S32" s="16">
        <f>Table22[[#This Row],[Approximated Straddle]]</f>
        <v>12.203404316955044</v>
      </c>
      <c r="T32" s="6">
        <f>Table22[[#This Row],[Error]]</f>
        <v>6.5412961535455949E-3</v>
      </c>
    </row>
    <row r="33" spans="2:78" x14ac:dyDescent="0.25">
      <c r="F33" s="20">
        <f t="shared" si="8"/>
        <v>2.3000000000000007</v>
      </c>
      <c r="G33" s="4">
        <f t="shared" si="0"/>
        <v>12.670637584921373</v>
      </c>
      <c r="H33" s="4">
        <f t="shared" si="1"/>
        <v>12.758104513180275</v>
      </c>
      <c r="I33" s="6">
        <f t="shared" si="3"/>
        <v>6.9031197264288746E-3</v>
      </c>
      <c r="J33" s="22" cm="1">
        <f t="array" ref="J33">D_one($D$1,$D$2,$D$5,$D$3,$D$3,F33)</f>
        <v>0.15947630641475344</v>
      </c>
      <c r="K33" s="23">
        <f t="shared" si="4"/>
        <v>0.56335318792460676</v>
      </c>
      <c r="L33" s="24">
        <f t="shared" si="2"/>
        <v>-0.15947630641475344</v>
      </c>
      <c r="M33" s="23">
        <f t="shared" si="5"/>
        <v>0.43664681207539319</v>
      </c>
      <c r="N33" s="25" cm="1">
        <f t="array" ref="N33">GBlackScholes("c",$D$1,$D$2,$D$5,$D$3,$D$3,F33)</f>
        <v>6.3353187924606864</v>
      </c>
      <c r="O33" s="4">
        <f t="shared" si="6"/>
        <v>6.3353187924606864</v>
      </c>
      <c r="Q33" s="7">
        <f t="shared" si="7"/>
        <v>2.3000000000000007</v>
      </c>
      <c r="R33" s="16">
        <f>Table22[[#This Row],[Black-Scholes Straddle]]</f>
        <v>12.670637584921373</v>
      </c>
      <c r="S33" s="16">
        <f>Table22[[#This Row],[Approximated Straddle]]</f>
        <v>12.758104513180275</v>
      </c>
      <c r="T33" s="6">
        <f>Table22[[#This Row],[Error]]</f>
        <v>6.9031197264288746E-3</v>
      </c>
      <c r="BJ33" s="103">
        <f>13^30</f>
        <v>2.6199956436499452E+33</v>
      </c>
      <c r="BK33" s="103"/>
      <c r="BL33" s="103"/>
      <c r="BM33" s="103"/>
      <c r="BN33" s="103"/>
      <c r="BO33" s="103"/>
      <c r="BP33" s="103"/>
      <c r="BQ33" s="103"/>
      <c r="BR33" s="103"/>
      <c r="BS33" s="103"/>
      <c r="BT33" s="103"/>
      <c r="BU33" s="103"/>
      <c r="BV33" s="103"/>
      <c r="BW33" s="103"/>
      <c r="BX33" s="103"/>
      <c r="BY33" s="103"/>
      <c r="BZ33" s="103"/>
    </row>
    <row r="34" spans="2:78" x14ac:dyDescent="0.25">
      <c r="F34" s="20">
        <f t="shared" si="8"/>
        <v>2.4000000000000008</v>
      </c>
      <c r="G34" s="4">
        <f t="shared" si="0"/>
        <v>13.21657415068676</v>
      </c>
      <c r="H34" s="4">
        <f t="shared" si="1"/>
        <v>13.312804709405503</v>
      </c>
      <c r="I34" s="6">
        <f t="shared" si="3"/>
        <v>7.2810516266610392E-3</v>
      </c>
      <c r="J34" s="22" cm="1">
        <f t="array" ref="J34">D_one($D$1,$D$2,$D$5,$D$3,$D$3,F34)</f>
        <v>0.16641005886756879</v>
      </c>
      <c r="K34" s="23">
        <f t="shared" si="4"/>
        <v>0.56608287075343378</v>
      </c>
      <c r="L34" s="24">
        <f t="shared" si="2"/>
        <v>-0.16641005886756879</v>
      </c>
      <c r="M34" s="23">
        <f t="shared" si="5"/>
        <v>0.43391712924656622</v>
      </c>
      <c r="N34" s="25" cm="1">
        <f t="array" ref="N34">GBlackScholes("c",$D$1,$D$2,$D$5,$D$3,$D$3,F34)</f>
        <v>6.6082870753433802</v>
      </c>
      <c r="O34" s="4">
        <f t="shared" si="6"/>
        <v>6.6082870753433802</v>
      </c>
      <c r="Q34" s="7">
        <f t="shared" si="7"/>
        <v>2.4000000000000008</v>
      </c>
      <c r="R34" s="16">
        <f>Table22[[#This Row],[Black-Scholes Straddle]]</f>
        <v>13.21657415068676</v>
      </c>
      <c r="S34" s="16">
        <f>Table22[[#This Row],[Approximated Straddle]]</f>
        <v>13.312804709405503</v>
      </c>
      <c r="T34" s="6">
        <f>Table22[[#This Row],[Error]]</f>
        <v>7.2810516266610392E-3</v>
      </c>
    </row>
    <row r="35" spans="2:78" x14ac:dyDescent="0.25">
      <c r="F35" s="20">
        <f t="shared" si="8"/>
        <v>2.5000000000000009</v>
      </c>
      <c r="G35" s="4">
        <f t="shared" si="0"/>
        <v>13.761881155445904</v>
      </c>
      <c r="H35" s="4">
        <f t="shared" si="1"/>
        <v>13.867504905630733</v>
      </c>
      <c r="I35" s="6">
        <f t="shared" si="3"/>
        <v>7.6750953588224924E-3</v>
      </c>
      <c r="J35" s="22" cm="1">
        <f t="array" ref="J35">D_one($D$1,$D$2,$D$5,$D$3,$D$3,F35)</f>
        <v>0.17334381132038415</v>
      </c>
      <c r="K35" s="23">
        <f t="shared" si="4"/>
        <v>0.56880940577722949</v>
      </c>
      <c r="L35" s="24">
        <f t="shared" si="2"/>
        <v>-0.17334381132038421</v>
      </c>
      <c r="M35" s="23">
        <f t="shared" si="5"/>
        <v>0.43119059422277051</v>
      </c>
      <c r="N35" s="25" cm="1">
        <f t="array" ref="N35">GBlackScholes("c",$D$1,$D$2,$D$5,$D$3,$D$3,F35)</f>
        <v>6.880940577722952</v>
      </c>
      <c r="O35" s="4">
        <f t="shared" si="6"/>
        <v>6.880940577722952</v>
      </c>
      <c r="Q35" s="7">
        <f t="shared" si="7"/>
        <v>2.5000000000000009</v>
      </c>
      <c r="R35" s="16">
        <f>Table22[[#This Row],[Black-Scholes Straddle]]</f>
        <v>13.761881155445904</v>
      </c>
      <c r="S35" s="16">
        <f>Table22[[#This Row],[Approximated Straddle]]</f>
        <v>13.867504905630733</v>
      </c>
      <c r="T35" s="6">
        <f>Table22[[#This Row],[Error]]</f>
        <v>7.6750953588224924E-3</v>
      </c>
    </row>
    <row r="36" spans="2:78" x14ac:dyDescent="0.25">
      <c r="F36" s="20">
        <f t="shared" si="8"/>
        <v>2.600000000000001</v>
      </c>
      <c r="G36" s="4">
        <f t="shared" si="0"/>
        <v>14.306533139477423</v>
      </c>
      <c r="H36" s="4">
        <f t="shared" si="1"/>
        <v>14.422205101855964</v>
      </c>
      <c r="I36" s="6">
        <f t="shared" si="3"/>
        <v>8.0852545652276842E-3</v>
      </c>
      <c r="J36" s="22" cm="1">
        <f t="array" ref="J36">D_one($D$1,$D$2,$D$5,$D$3,$D$3,F36)</f>
        <v>0.18027756377319953</v>
      </c>
      <c r="K36" s="23">
        <f t="shared" si="4"/>
        <v>0.57153266569738714</v>
      </c>
      <c r="L36" s="24">
        <f t="shared" si="2"/>
        <v>-0.18027756377319953</v>
      </c>
      <c r="M36" s="23">
        <f t="shared" si="5"/>
        <v>0.42846733430261286</v>
      </c>
      <c r="N36" s="25" cm="1">
        <f t="array" ref="N36">GBlackScholes("c",$D$1,$D$2,$D$5,$D$3,$D$3,F36)</f>
        <v>7.1532665697387117</v>
      </c>
      <c r="O36" s="4">
        <f t="shared" si="6"/>
        <v>7.1532665697387117</v>
      </c>
      <c r="Q36" s="7">
        <f t="shared" si="7"/>
        <v>2.600000000000001</v>
      </c>
      <c r="R36" s="16">
        <f>Table22[[#This Row],[Black-Scholes Straddle]]</f>
        <v>14.306533139477423</v>
      </c>
      <c r="S36" s="16">
        <f>Table22[[#This Row],[Approximated Straddle]]</f>
        <v>14.422205101855964</v>
      </c>
      <c r="T36" s="6">
        <f>Table22[[#This Row],[Error]]</f>
        <v>8.0852545652276842E-3</v>
      </c>
    </row>
    <row r="37" spans="2:78" x14ac:dyDescent="0.25">
      <c r="F37" s="20">
        <f t="shared" si="8"/>
        <v>2.7000000000000011</v>
      </c>
      <c r="G37" s="4">
        <f t="shared" si="0"/>
        <v>14.85050473658524</v>
      </c>
      <c r="H37" s="4">
        <f t="shared" si="1"/>
        <v>14.976905298081192</v>
      </c>
      <c r="I37" s="6">
        <f t="shared" si="3"/>
        <v>8.5115330245009169E-3</v>
      </c>
      <c r="J37" s="22" cm="1">
        <f t="array" ref="J37">D_one($D$1,$D$2,$D$5,$D$3,$D$3,F37)</f>
        <v>0.18721131622601489</v>
      </c>
      <c r="K37" s="23">
        <f t="shared" si="4"/>
        <v>0.57425252368292623</v>
      </c>
      <c r="L37" s="24">
        <f t="shared" si="2"/>
        <v>-0.18721131622601495</v>
      </c>
      <c r="M37" s="23">
        <f t="shared" si="5"/>
        <v>0.42574747631707377</v>
      </c>
      <c r="N37" s="25" cm="1">
        <f t="array" ref="N37">GBlackScholes("c",$D$1,$D$2,$D$5,$D$3,$D$3,F37)</f>
        <v>7.4252523682926199</v>
      </c>
      <c r="O37" s="4">
        <f t="shared" si="6"/>
        <v>7.4252523682926199</v>
      </c>
      <c r="Q37" s="7">
        <f t="shared" si="7"/>
        <v>2.7000000000000011</v>
      </c>
      <c r="R37" s="16">
        <f>Table22[[#This Row],[Black-Scholes Straddle]]</f>
        <v>14.85050473658524</v>
      </c>
      <c r="S37" s="16">
        <f>Table22[[#This Row],[Approximated Straddle]]</f>
        <v>14.976905298081192</v>
      </c>
      <c r="T37" s="6">
        <f>Table22[[#This Row],[Error]]</f>
        <v>8.5115330245009169E-3</v>
      </c>
    </row>
    <row r="38" spans="2:78" x14ac:dyDescent="0.25">
      <c r="F38" s="20">
        <f t="shared" si="8"/>
        <v>2.8000000000000012</v>
      </c>
      <c r="G38" s="4">
        <f t="shared" si="0"/>
        <v>15.393770677640223</v>
      </c>
      <c r="H38" s="4">
        <f t="shared" si="1"/>
        <v>15.531605494306422</v>
      </c>
      <c r="I38" s="6">
        <f t="shared" si="3"/>
        <v>8.9539346500988604E-3</v>
      </c>
      <c r="J38" s="22" cm="1">
        <f t="array" ref="J38">D_one($D$1,$D$2,$D$5,$D$3,$D$3,F38)</f>
        <v>0.19414506867883027</v>
      </c>
      <c r="K38" s="23">
        <f t="shared" si="4"/>
        <v>0.57696885338820103</v>
      </c>
      <c r="L38" s="24">
        <f t="shared" si="2"/>
        <v>-0.19414506867883027</v>
      </c>
      <c r="M38" s="23">
        <f t="shared" si="5"/>
        <v>0.42303114661179897</v>
      </c>
      <c r="N38" s="25" cm="1">
        <f t="array" ref="N38">GBlackScholes("c",$D$1,$D$2,$D$5,$D$3,$D$3,F38)</f>
        <v>7.6968853388201115</v>
      </c>
      <c r="O38" s="4">
        <f t="shared" si="6"/>
        <v>7.6968853388201115</v>
      </c>
      <c r="Q38" s="7">
        <f t="shared" si="7"/>
        <v>2.8000000000000012</v>
      </c>
      <c r="R38" s="16">
        <f>Table22[[#This Row],[Black-Scholes Straddle]]</f>
        <v>15.393770677640223</v>
      </c>
      <c r="S38" s="16">
        <f>Table22[[#This Row],[Approximated Straddle]]</f>
        <v>15.531605494306422</v>
      </c>
      <c r="T38" s="6">
        <f>Table22[[#This Row],[Error]]</f>
        <v>8.9539346500988604E-3</v>
      </c>
    </row>
    <row r="39" spans="2:78" x14ac:dyDescent="0.25">
      <c r="F39" s="20">
        <f t="shared" si="8"/>
        <v>2.9000000000000012</v>
      </c>
      <c r="G39" s="4">
        <f t="shared" si="0"/>
        <v>15.93630579409866</v>
      </c>
      <c r="H39" s="4">
        <f t="shared" si="1"/>
        <v>16.086305690531653</v>
      </c>
      <c r="I39" s="6">
        <f t="shared" si="3"/>
        <v>9.4124634887804426E-3</v>
      </c>
      <c r="J39" s="22" cm="1">
        <f t="array" ref="J39">D_one($D$1,$D$2,$D$5,$D$3,$D$3,F39)</f>
        <v>0.20107882113164566</v>
      </c>
      <c r="K39" s="23">
        <f t="shared" si="4"/>
        <v>0.5796815289704933</v>
      </c>
      <c r="L39" s="24">
        <f t="shared" si="2"/>
        <v>-0.20107882113164566</v>
      </c>
      <c r="M39" s="23">
        <f t="shared" si="5"/>
        <v>0.4203184710295067</v>
      </c>
      <c r="N39" s="25" cm="1">
        <f t="array" ref="N39">GBlackScholes("c",$D$1,$D$2,$D$5,$D$3,$D$3,F39)</f>
        <v>7.9681528970493298</v>
      </c>
      <c r="O39" s="4">
        <f t="shared" si="6"/>
        <v>7.9681528970493298</v>
      </c>
      <c r="Q39" s="7">
        <f t="shared" si="7"/>
        <v>2.9000000000000012</v>
      </c>
      <c r="R39" s="16">
        <f>Table22[[#This Row],[Black-Scholes Straddle]]</f>
        <v>15.93630579409866</v>
      </c>
      <c r="S39" s="16">
        <f>Table22[[#This Row],[Approximated Straddle]]</f>
        <v>16.086305690531653</v>
      </c>
      <c r="T39" s="6">
        <f>Table22[[#This Row],[Error]]</f>
        <v>9.4124634887804426E-3</v>
      </c>
    </row>
    <row r="40" spans="2:78" x14ac:dyDescent="0.25">
      <c r="F40" s="20">
        <f t="shared" si="8"/>
        <v>3.0000000000000013</v>
      </c>
      <c r="G40" s="4">
        <f t="shared" si="0"/>
        <v>16.478085021497112</v>
      </c>
      <c r="H40" s="4">
        <f t="shared" si="1"/>
        <v>16.641005886756883</v>
      </c>
      <c r="I40" s="6">
        <f t="shared" si="3"/>
        <v>9.8871237190016892E-3</v>
      </c>
      <c r="J40" s="22" cm="1">
        <f t="array" ref="J40">D_one($D$1,$D$2,$D$5,$D$3,$D$3,F40)</f>
        <v>0.20801257358446099</v>
      </c>
      <c r="K40" s="23">
        <f t="shared" si="4"/>
        <v>0.58239042510748551</v>
      </c>
      <c r="L40" s="24">
        <f t="shared" si="2"/>
        <v>-0.20801257358446104</v>
      </c>
      <c r="M40" s="23">
        <f t="shared" si="5"/>
        <v>0.41760957489251443</v>
      </c>
      <c r="N40" s="25" cm="1">
        <f t="array" ref="N40">GBlackScholes("c",$D$1,$D$2,$D$5,$D$3,$D$3,F40)</f>
        <v>8.2390425107485559</v>
      </c>
      <c r="O40" s="4">
        <f t="shared" si="6"/>
        <v>8.2390425107485559</v>
      </c>
      <c r="Q40" s="7">
        <f t="shared" si="7"/>
        <v>3.0000000000000013</v>
      </c>
      <c r="R40" s="16">
        <f>Table22[[#This Row],[Black-Scholes Straddle]]</f>
        <v>16.478085021497112</v>
      </c>
      <c r="S40" s="16">
        <f>Table22[[#This Row],[Approximated Straddle]]</f>
        <v>16.641005886756883</v>
      </c>
      <c r="T40" s="6">
        <f>Table22[[#This Row],[Error]]</f>
        <v>9.8871237190016892E-3</v>
      </c>
    </row>
    <row r="41" spans="2:78" x14ac:dyDescent="0.25">
      <c r="F41" s="20">
        <f t="shared" si="8"/>
        <v>3.1000000000000014</v>
      </c>
      <c r="G41" s="4">
        <f t="shared" si="0"/>
        <v>17.019083402922181</v>
      </c>
      <c r="H41" s="4">
        <f t="shared" si="1"/>
        <v>17.195706082982113</v>
      </c>
      <c r="I41" s="6">
        <f t="shared" si="3"/>
        <v>1.0377919649280587E-2</v>
      </c>
      <c r="J41" s="22" cm="1">
        <f t="array" ref="J41">D_one($D$1,$D$2,$D$5,$D$3,$D$3,F41)</f>
        <v>0.21494632603727637</v>
      </c>
      <c r="K41" s="23">
        <f t="shared" si="4"/>
        <v>0.58509541701461087</v>
      </c>
      <c r="L41" s="24">
        <f t="shared" si="2"/>
        <v>-0.21494632603727643</v>
      </c>
      <c r="M41" s="23">
        <f t="shared" si="5"/>
        <v>0.41490458298538913</v>
      </c>
      <c r="N41" s="25" cm="1">
        <f t="array" ref="N41">GBlackScholes("c",$D$1,$D$2,$D$5,$D$3,$D$3,F41)</f>
        <v>8.5095417014610906</v>
      </c>
      <c r="O41" s="4">
        <f t="shared" si="6"/>
        <v>8.5095417014610906</v>
      </c>
      <c r="Q41" s="7">
        <f t="shared" si="7"/>
        <v>3.1000000000000014</v>
      </c>
      <c r="R41" s="16">
        <f>Table22[[#This Row],[Black-Scholes Straddle]]</f>
        <v>17.019083402922181</v>
      </c>
      <c r="S41" s="16">
        <f>Table22[[#This Row],[Approximated Straddle]]</f>
        <v>17.195706082982113</v>
      </c>
      <c r="T41" s="6">
        <f>Table22[[#This Row],[Error]]</f>
        <v>1.0377919649280587E-2</v>
      </c>
    </row>
    <row r="42" spans="2:78" x14ac:dyDescent="0.25">
      <c r="F42" s="20">
        <f t="shared" si="8"/>
        <v>3.2000000000000015</v>
      </c>
      <c r="G42" s="4">
        <f t="shared" si="0"/>
        <v>17.559276092455107</v>
      </c>
      <c r="H42" s="4">
        <f t="shared" si="1"/>
        <v>17.75040627920734</v>
      </c>
      <c r="I42" s="6">
        <f t="shared" si="3"/>
        <v>1.0884855716481345E-2</v>
      </c>
      <c r="J42" s="22" cm="1">
        <f t="array" ref="J42">D_one($D$1,$D$2,$D$5,$D$3,$D$3,F42)</f>
        <v>0.22188007849009175</v>
      </c>
      <c r="K42" s="23">
        <f t="shared" si="4"/>
        <v>0.58779638046227545</v>
      </c>
      <c r="L42" s="24">
        <f t="shared" si="2"/>
        <v>-0.22188007849009175</v>
      </c>
      <c r="M42" s="23">
        <f t="shared" si="5"/>
        <v>0.4122036195377245</v>
      </c>
      <c r="N42" s="25" cm="1">
        <f t="array" ref="N42">GBlackScholes("c",$D$1,$D$2,$D$5,$D$3,$D$3,F42)</f>
        <v>8.7796380462275536</v>
      </c>
      <c r="O42" s="4">
        <f t="shared" si="6"/>
        <v>8.7796380462275536</v>
      </c>
      <c r="Q42" s="7">
        <f t="shared" si="7"/>
        <v>3.2000000000000015</v>
      </c>
      <c r="R42" s="16">
        <f>Table22[[#This Row],[Black-Scholes Straddle]]</f>
        <v>17.559276092455107</v>
      </c>
      <c r="S42" s="16">
        <f>Table22[[#This Row],[Approximated Straddle]]</f>
        <v>17.75040627920734</v>
      </c>
      <c r="T42" s="6">
        <f>Table22[[#This Row],[Error]]</f>
        <v>1.0884855716481345E-2</v>
      </c>
    </row>
    <row r="43" spans="2:78" x14ac:dyDescent="0.25">
      <c r="F43" s="20">
        <f t="shared" si="8"/>
        <v>3.3000000000000016</v>
      </c>
      <c r="G43" s="4">
        <f t="shared" si="0"/>
        <v>18.098638358589884</v>
      </c>
      <c r="H43" s="4">
        <f t="shared" si="1"/>
        <v>18.30510647543257</v>
      </c>
      <c r="I43" s="6">
        <f t="shared" si="3"/>
        <v>1.1407936484055581E-2</v>
      </c>
      <c r="J43" s="22" cm="1">
        <f t="array" ref="J43">D_one($D$1,$D$2,$D$5,$D$3,$D$3,F43)</f>
        <v>0.22881383094290714</v>
      </c>
      <c r="K43" s="23">
        <f t="shared" si="4"/>
        <v>0.59049319179294935</v>
      </c>
      <c r="L43" s="24">
        <f t="shared" si="2"/>
        <v>-0.22881383094290714</v>
      </c>
      <c r="M43" s="23">
        <f t="shared" si="5"/>
        <v>0.40950680820705065</v>
      </c>
      <c r="N43" s="25" cm="1">
        <f t="array" ref="N43">GBlackScholes("c",$D$1,$D$2,$D$5,$D$3,$D$3,F43)</f>
        <v>9.0493191792949421</v>
      </c>
      <c r="O43" s="4">
        <f t="shared" si="6"/>
        <v>9.0493191792949421</v>
      </c>
      <c r="Q43" s="7">
        <f t="shared" si="7"/>
        <v>3.3000000000000016</v>
      </c>
      <c r="R43" s="16">
        <f>Table22[[#This Row],[Black-Scholes Straddle]]</f>
        <v>18.098638358589884</v>
      </c>
      <c r="S43" s="16">
        <f>Table22[[#This Row],[Approximated Straddle]]</f>
        <v>18.30510647543257</v>
      </c>
      <c r="T43" s="6">
        <f>Table22[[#This Row],[Error]]</f>
        <v>1.1407936484055581E-2</v>
      </c>
    </row>
    <row r="44" spans="2:78" x14ac:dyDescent="0.25">
      <c r="F44" s="20">
        <f t="shared" si="8"/>
        <v>3.4000000000000017</v>
      </c>
      <c r="G44" s="4">
        <f t="shared" si="0"/>
        <v>18.637145587624303</v>
      </c>
      <c r="H44" s="4">
        <f t="shared" si="1"/>
        <v>18.8598066716578</v>
      </c>
      <c r="I44" s="6">
        <f t="shared" si="3"/>
        <v>1.194716664022577E-2</v>
      </c>
      <c r="J44" s="22" cm="1">
        <f t="array" ref="J44">D_one($D$1,$D$2,$D$5,$D$3,$D$3,F44)</f>
        <v>0.23574758339572249</v>
      </c>
      <c r="K44" s="23">
        <f t="shared" si="4"/>
        <v>0.59318572793812163</v>
      </c>
      <c r="L44" s="24">
        <f t="shared" si="2"/>
        <v>-0.23574758339572249</v>
      </c>
      <c r="M44" s="23">
        <f t="shared" si="5"/>
        <v>0.40681427206187842</v>
      </c>
      <c r="N44" s="25" cm="1">
        <f t="array" ref="N44">GBlackScholes("c",$D$1,$D$2,$D$5,$D$3,$D$3,F44)</f>
        <v>9.3185727938121516</v>
      </c>
      <c r="O44" s="4">
        <f t="shared" si="6"/>
        <v>9.3185727938121516</v>
      </c>
      <c r="Q44" s="7">
        <f t="shared" si="7"/>
        <v>3.4000000000000017</v>
      </c>
      <c r="R44" s="16">
        <f>Table22[[#This Row],[Black-Scholes Straddle]]</f>
        <v>18.637145587624303</v>
      </c>
      <c r="S44" s="16">
        <f>Table22[[#This Row],[Approximated Straddle]]</f>
        <v>18.8598066716578</v>
      </c>
      <c r="T44" s="6">
        <f>Table22[[#This Row],[Error]]</f>
        <v>1.194716664022577E-2</v>
      </c>
    </row>
    <row r="45" spans="2:78" x14ac:dyDescent="0.25">
      <c r="F45" s="20">
        <f t="shared" si="8"/>
        <v>3.5000000000000018</v>
      </c>
      <c r="G45" s="4">
        <f t="shared" si="0"/>
        <v>19.174773287023395</v>
      </c>
      <c r="H45" s="4">
        <f t="shared" si="1"/>
        <v>19.414506867883027</v>
      </c>
      <c r="I45" s="6">
        <f t="shared" si="3"/>
        <v>1.2502550996098316E-2</v>
      </c>
      <c r="J45" s="22" cm="1">
        <f t="array" ref="J45">D_one($D$1,$D$2,$D$5,$D$3,$D$3,F45)</f>
        <v>0.24268133584853788</v>
      </c>
      <c r="K45" s="23">
        <f t="shared" si="4"/>
        <v>0.59587386643511708</v>
      </c>
      <c r="L45" s="24">
        <f t="shared" si="2"/>
        <v>-0.24268133584853788</v>
      </c>
      <c r="M45" s="23">
        <f t="shared" si="5"/>
        <v>0.40412613356488297</v>
      </c>
      <c r="N45" s="25" cm="1">
        <f t="array" ref="N45">GBlackScholes("c",$D$1,$D$2,$D$5,$D$3,$D$3,F45)</f>
        <v>9.5873866435116977</v>
      </c>
      <c r="O45" s="4">
        <f t="shared" si="6"/>
        <v>9.5873866435116977</v>
      </c>
      <c r="Q45" s="7">
        <f t="shared" si="7"/>
        <v>3.5000000000000018</v>
      </c>
      <c r="R45" s="16">
        <f>Table22[[#This Row],[Black-Scholes Straddle]]</f>
        <v>19.174773287023395</v>
      </c>
      <c r="S45" s="16">
        <f>Table22[[#This Row],[Approximated Straddle]]</f>
        <v>19.414506867883027</v>
      </c>
      <c r="T45" s="6">
        <f>Table22[[#This Row],[Error]]</f>
        <v>1.2502550996098316E-2</v>
      </c>
    </row>
    <row r="46" spans="2:78" x14ac:dyDescent="0.25">
      <c r="F46" s="20">
        <f t="shared" si="8"/>
        <v>3.6000000000000019</v>
      </c>
      <c r="G46" s="4">
        <f t="shared" si="0"/>
        <v>19.711497088753799</v>
      </c>
      <c r="H46" s="4">
        <f t="shared" si="1"/>
        <v>19.969207064108261</v>
      </c>
      <c r="I46" s="6">
        <f t="shared" si="3"/>
        <v>1.3074094483746634E-2</v>
      </c>
      <c r="J46" s="22" cm="1">
        <f t="array" ref="J46">D_one($D$1,$D$2,$D$5,$D$3,$D$3,F46)</f>
        <v>0.24961508830135323</v>
      </c>
      <c r="K46" s="23">
        <f t="shared" si="4"/>
        <v>0.59855748544376897</v>
      </c>
      <c r="L46" s="24">
        <f t="shared" si="2"/>
        <v>-0.24961508830135323</v>
      </c>
      <c r="M46" s="23">
        <f t="shared" si="5"/>
        <v>0.40144251455623103</v>
      </c>
      <c r="N46" s="25" cm="1">
        <f t="array" ref="N46">GBlackScholes("c",$D$1,$D$2,$D$5,$D$3,$D$3,F46)</f>
        <v>9.8557485443768993</v>
      </c>
      <c r="O46" s="4">
        <f t="shared" si="6"/>
        <v>9.8557485443768993</v>
      </c>
      <c r="Q46" s="7">
        <f t="shared" si="7"/>
        <v>3.6000000000000019</v>
      </c>
      <c r="R46" s="16">
        <f>Table22[[#This Row],[Black-Scholes Straddle]]</f>
        <v>19.711497088753799</v>
      </c>
      <c r="S46" s="16">
        <f>Table22[[#This Row],[Approximated Straddle]]</f>
        <v>19.969207064108261</v>
      </c>
      <c r="T46" s="6">
        <f>Table22[[#This Row],[Error]]</f>
        <v>1.3074094483746634E-2</v>
      </c>
    </row>
    <row r="47" spans="2:78" x14ac:dyDescent="0.25">
      <c r="B47" s="2">
        <f>0.05/9.9</f>
        <v>5.0505050505050509E-3</v>
      </c>
      <c r="F47" s="20">
        <f t="shared" si="8"/>
        <v>3.700000000000002</v>
      </c>
      <c r="G47" s="4">
        <f t="shared" si="0"/>
        <v>20.247292752589193</v>
      </c>
      <c r="H47" s="4">
        <f t="shared" si="1"/>
        <v>20.523907260333491</v>
      </c>
      <c r="I47" s="6">
        <f t="shared" si="3"/>
        <v>1.3661802154212754E-2</v>
      </c>
      <c r="J47" s="22" cm="1">
        <f t="array" ref="J47">D_one($D$1,$D$2,$D$5,$D$3,$D$3,F47)</f>
        <v>0.25654884075416862</v>
      </c>
      <c r="K47" s="23">
        <f t="shared" si="4"/>
        <v>0.60123646376294593</v>
      </c>
      <c r="L47" s="24">
        <f t="shared" si="2"/>
        <v>-0.25654884075416862</v>
      </c>
      <c r="M47" s="23">
        <f t="shared" si="5"/>
        <v>0.39876353623705402</v>
      </c>
      <c r="N47" s="25" cm="1">
        <f t="array" ref="N47">GBlackScholes("c",$D$1,$D$2,$D$5,$D$3,$D$3,F47)</f>
        <v>10.123646376294596</v>
      </c>
      <c r="O47" s="4">
        <f t="shared" si="6"/>
        <v>10.123646376294596</v>
      </c>
      <c r="Q47" s="7">
        <f t="shared" si="7"/>
        <v>3.700000000000002</v>
      </c>
      <c r="R47" s="16">
        <f>Table22[[#This Row],[Black-Scholes Straddle]]</f>
        <v>20.247292752589193</v>
      </c>
      <c r="S47" s="16">
        <f>Table22[[#This Row],[Approximated Straddle]]</f>
        <v>20.523907260333491</v>
      </c>
      <c r="T47" s="6">
        <f>Table22[[#This Row],[Error]]</f>
        <v>1.3661802154212754E-2</v>
      </c>
    </row>
    <row r="48" spans="2:78" x14ac:dyDescent="0.25">
      <c r="F48" s="20">
        <f t="shared" si="8"/>
        <v>3.800000000000002</v>
      </c>
      <c r="G48" s="4">
        <f t="shared" si="0"/>
        <v>20.782136169385439</v>
      </c>
      <c r="H48" s="4">
        <f t="shared" si="1"/>
        <v>21.078607456558718</v>
      </c>
      <c r="I48" s="6">
        <f t="shared" si="3"/>
        <v>1.4265679175464951E-2</v>
      </c>
      <c r="J48" s="22" cm="1">
        <f t="array" ref="J48">D_one($D$1,$D$2,$D$5,$D$3,$D$3,F48)</f>
        <v>0.26348259320698397</v>
      </c>
      <c r="K48" s="23">
        <f t="shared" si="4"/>
        <v>0.60391068084692712</v>
      </c>
      <c r="L48" s="24">
        <f t="shared" si="2"/>
        <v>-0.26348259320698397</v>
      </c>
      <c r="M48" s="23">
        <f t="shared" si="5"/>
        <v>0.39608931915307288</v>
      </c>
      <c r="N48" s="25" cm="1">
        <f t="array" ref="N48">GBlackScholes("c",$D$1,$D$2,$D$5,$D$3,$D$3,F48)</f>
        <v>10.391068084692719</v>
      </c>
      <c r="O48" s="4">
        <f t="shared" si="6"/>
        <v>10.391068084692719</v>
      </c>
      <c r="Q48" s="7">
        <f t="shared" si="7"/>
        <v>3.800000000000002</v>
      </c>
      <c r="R48" s="16">
        <f>Table22[[#This Row],[Black-Scholes Straddle]]</f>
        <v>20.782136169385439</v>
      </c>
      <c r="S48" s="16">
        <f>Table22[[#This Row],[Approximated Straddle]]</f>
        <v>21.078607456558718</v>
      </c>
      <c r="T48" s="6">
        <f>Table22[[#This Row],[Error]]</f>
        <v>1.4265679175464951E-2</v>
      </c>
    </row>
    <row r="49" spans="6:20" x14ac:dyDescent="0.25">
      <c r="F49" s="20">
        <f t="shared" si="8"/>
        <v>3.9000000000000021</v>
      </c>
      <c r="G49" s="4">
        <f t="shared" si="0"/>
        <v>21.316003364324764</v>
      </c>
      <c r="H49" s="4">
        <f t="shared" si="1"/>
        <v>21.633307652783948</v>
      </c>
      <c r="I49" s="6">
        <f t="shared" si="3"/>
        <v>1.4885730830303645E-2</v>
      </c>
      <c r="J49" s="22" cm="1">
        <f t="array" ref="J49">D_one($D$1,$D$2,$D$5,$D$3,$D$3,F49)</f>
        <v>0.27041634565979933</v>
      </c>
      <c r="K49" s="23">
        <f t="shared" si="4"/>
        <v>0.60658001682162377</v>
      </c>
      <c r="L49" s="24">
        <f t="shared" si="2"/>
        <v>-0.27041634565979944</v>
      </c>
      <c r="M49" s="23">
        <f t="shared" si="5"/>
        <v>0.39341998317837612</v>
      </c>
      <c r="N49" s="25" cm="1">
        <f t="array" ref="N49">GBlackScholes("c",$D$1,$D$2,$D$5,$D$3,$D$3,F49)</f>
        <v>10.658001682162382</v>
      </c>
      <c r="O49" s="4">
        <f t="shared" si="6"/>
        <v>10.658001682162382</v>
      </c>
      <c r="Q49" s="7">
        <f t="shared" si="7"/>
        <v>3.9000000000000021</v>
      </c>
      <c r="R49" s="16">
        <f>Table22[[#This Row],[Black-Scholes Straddle]]</f>
        <v>21.316003364324764</v>
      </c>
      <c r="S49" s="16">
        <f>Table22[[#This Row],[Approximated Straddle]]</f>
        <v>21.633307652783948</v>
      </c>
      <c r="T49" s="6">
        <f>Table22[[#This Row],[Error]]</f>
        <v>1.4885730830303645E-2</v>
      </c>
    </row>
    <row r="50" spans="6:20" x14ac:dyDescent="0.25">
      <c r="F50" s="20">
        <f t="shared" si="8"/>
        <v>4.0000000000000018</v>
      </c>
      <c r="G50" s="4">
        <f t="shared" si="0"/>
        <v>21.848870500128669</v>
      </c>
      <c r="H50" s="4">
        <f t="shared" si="1"/>
        <v>22.188007849009175</v>
      </c>
      <c r="I50" s="6">
        <f t="shared" si="3"/>
        <v>1.5521962514195353E-2</v>
      </c>
      <c r="J50" s="22" cm="1">
        <f t="array" ref="J50">D_one($D$1,$D$2,$D$5,$D$3,$D$3,F50)</f>
        <v>0.27735009811261468</v>
      </c>
      <c r="K50" s="23">
        <f t="shared" si="4"/>
        <v>0.60924435250064346</v>
      </c>
      <c r="L50" s="24">
        <f t="shared" si="2"/>
        <v>-0.27735009811261468</v>
      </c>
      <c r="M50" s="23">
        <f t="shared" si="5"/>
        <v>0.3907556474993566</v>
      </c>
      <c r="N50" s="25" cm="1">
        <f t="array" ref="N50">GBlackScholes("c",$D$1,$D$2,$D$5,$D$3,$D$3,F50)</f>
        <v>10.924435250064334</v>
      </c>
      <c r="O50" s="4">
        <f t="shared" si="6"/>
        <v>10.924435250064334</v>
      </c>
      <c r="Q50" s="7">
        <f t="shared" si="7"/>
        <v>4.0000000000000018</v>
      </c>
      <c r="R50" s="16">
        <f>Table22[[#This Row],[Black-Scholes Straddle]]</f>
        <v>21.848870500128669</v>
      </c>
      <c r="S50" s="16">
        <f>Table22[[#This Row],[Approximated Straddle]]</f>
        <v>22.188007849009175</v>
      </c>
      <c r="T50" s="6">
        <f>Table22[[#This Row],[Error]]</f>
        <v>1.5521962514195353E-2</v>
      </c>
    </row>
    <row r="51" spans="6:20" x14ac:dyDescent="0.25">
      <c r="F51" s="20">
        <f t="shared" si="8"/>
        <v>4.1000000000000014</v>
      </c>
      <c r="G51" s="4">
        <f t="shared" si="0"/>
        <v>22.380713880238211</v>
      </c>
      <c r="H51" s="4">
        <f t="shared" si="1"/>
        <v>22.742708045234401</v>
      </c>
      <c r="I51" s="6">
        <f t="shared" si="3"/>
        <v>1.617437973307112E-2</v>
      </c>
      <c r="J51" s="22" cm="1">
        <f t="array" ref="J51">D_one($D$1,$D$2,$D$5,$D$3,$D$3,F51)</f>
        <v>0.28428385056543004</v>
      </c>
      <c r="K51" s="23">
        <f t="shared" si="4"/>
        <v>0.61190356940119117</v>
      </c>
      <c r="L51" s="24">
        <f t="shared" si="2"/>
        <v>-0.28428385056543004</v>
      </c>
      <c r="M51" s="23">
        <f t="shared" si="5"/>
        <v>0.38809643059880883</v>
      </c>
      <c r="N51" s="25" cm="1">
        <f t="array" ref="N51">GBlackScholes("c",$D$1,$D$2,$D$5,$D$3,$D$3,F51)</f>
        <v>11.190356940119106</v>
      </c>
      <c r="O51" s="4">
        <f t="shared" si="6"/>
        <v>11.190356940119106</v>
      </c>
      <c r="Q51" s="7">
        <f t="shared" si="7"/>
        <v>4.1000000000000014</v>
      </c>
      <c r="R51" s="16">
        <f>Table22[[#This Row],[Black-Scholes Straddle]]</f>
        <v>22.380713880238211</v>
      </c>
      <c r="S51" s="16">
        <f>Table22[[#This Row],[Approximated Straddle]]</f>
        <v>22.742708045234401</v>
      </c>
      <c r="T51" s="6">
        <f>Table22[[#This Row],[Error]]</f>
        <v>1.617437973307112E-2</v>
      </c>
    </row>
    <row r="52" spans="6:20" x14ac:dyDescent="0.25">
      <c r="F52" s="20">
        <f t="shared" si="8"/>
        <v>4.2000000000000011</v>
      </c>
      <c r="G52" s="4">
        <f t="shared" si="0"/>
        <v>22.911509951961545</v>
      </c>
      <c r="H52" s="4">
        <f t="shared" si="1"/>
        <v>23.297408241459632</v>
      </c>
      <c r="I52" s="6">
        <f t="shared" si="3"/>
        <v>1.6842988101054779E-2</v>
      </c>
      <c r="J52" s="22" cm="1">
        <f t="array" ref="J52">D_one($D$1,$D$2,$D$5,$D$3,$D$3,F52)</f>
        <v>0.29121760301824534</v>
      </c>
      <c r="K52" s="23">
        <f t="shared" si="4"/>
        <v>0.61455754975980781</v>
      </c>
      <c r="L52" s="24">
        <f t="shared" si="2"/>
        <v>-0.29121760301824545</v>
      </c>
      <c r="M52" s="23">
        <f t="shared" si="5"/>
        <v>0.38544245024019214</v>
      </c>
      <c r="N52" s="25" cm="1">
        <f t="array" ref="N52">GBlackScholes("c",$D$1,$D$2,$D$5,$D$3,$D$3,F52)</f>
        <v>11.455754975980772</v>
      </c>
      <c r="O52" s="4">
        <f t="shared" si="6"/>
        <v>11.455754975980772</v>
      </c>
      <c r="Q52" s="7">
        <f t="shared" si="7"/>
        <v>4.2000000000000011</v>
      </c>
      <c r="R52" s="16">
        <f>Table22[[#This Row],[Black-Scholes Straddle]]</f>
        <v>22.911509951961545</v>
      </c>
      <c r="S52" s="16">
        <f>Table22[[#This Row],[Approximated Straddle]]</f>
        <v>23.297408241459632</v>
      </c>
      <c r="T52" s="6">
        <f>Table22[[#This Row],[Error]]</f>
        <v>1.6842988101054779E-2</v>
      </c>
    </row>
    <row r="53" spans="6:20" x14ac:dyDescent="0.25">
      <c r="F53" s="20">
        <f t="shared" si="8"/>
        <v>4.3000000000000007</v>
      </c>
      <c r="G53" s="4">
        <f t="shared" si="0"/>
        <v>23.441235309587643</v>
      </c>
      <c r="H53" s="4">
        <f t="shared" si="1"/>
        <v>23.852108437684858</v>
      </c>
      <c r="I53" s="6">
        <f t="shared" si="3"/>
        <v>1.7527793338142139E-2</v>
      </c>
      <c r="J53" s="22" cm="1">
        <f t="array" ref="J53">D_one($D$1,$D$2,$D$5,$D$3,$D$3,F53)</f>
        <v>0.2981513554710607</v>
      </c>
      <c r="K53" s="23">
        <f t="shared" si="4"/>
        <v>0.61720617654793819</v>
      </c>
      <c r="L53" s="24">
        <f t="shared" si="2"/>
        <v>-0.2981513554710607</v>
      </c>
      <c r="M53" s="23">
        <f t="shared" si="5"/>
        <v>0.38279382345206175</v>
      </c>
      <c r="N53" s="25" cm="1">
        <f t="array" ref="N53">GBlackScholes("c",$D$1,$D$2,$D$5,$D$3,$D$3,F53)</f>
        <v>11.720617654793822</v>
      </c>
      <c r="O53" s="4">
        <f t="shared" si="6"/>
        <v>11.720617654793822</v>
      </c>
      <c r="Q53" s="7">
        <f t="shared" si="7"/>
        <v>4.3000000000000007</v>
      </c>
      <c r="R53" s="16">
        <f>Table22[[#This Row],[Black-Scholes Straddle]]</f>
        <v>23.441235309587643</v>
      </c>
      <c r="S53" s="16">
        <f>Table22[[#This Row],[Approximated Straddle]]</f>
        <v>23.852108437684858</v>
      </c>
      <c r="T53" s="6">
        <f>Table22[[#This Row],[Error]]</f>
        <v>1.7527793338142139E-2</v>
      </c>
    </row>
    <row r="54" spans="6:20" x14ac:dyDescent="0.25">
      <c r="F54" s="20">
        <f t="shared" si="8"/>
        <v>4.4000000000000004</v>
      </c>
      <c r="G54" s="4">
        <f t="shared" si="0"/>
        <v>23.969866697465637</v>
      </c>
      <c r="H54" s="4">
        <f t="shared" si="1"/>
        <v>24.406808633910082</v>
      </c>
      <c r="I54" s="6">
        <f t="shared" si="3"/>
        <v>1.8228801267828665E-2</v>
      </c>
      <c r="J54" s="22" cm="1">
        <f t="array" ref="J54">D_one($D$1,$D$2,$D$5,$D$3,$D$3,F54)</f>
        <v>0.30508510792387605</v>
      </c>
      <c r="K54" s="23">
        <f t="shared" si="4"/>
        <v>0.61984933348732829</v>
      </c>
      <c r="L54" s="24">
        <f t="shared" si="2"/>
        <v>-0.30508510792387605</v>
      </c>
      <c r="M54" s="23">
        <f t="shared" si="5"/>
        <v>0.38015066651267176</v>
      </c>
      <c r="N54" s="25" cm="1">
        <f t="array" ref="N54">GBlackScholes("c",$D$1,$D$2,$D$5,$D$3,$D$3,F54)</f>
        <v>11.984933348732818</v>
      </c>
      <c r="O54" s="4">
        <f t="shared" si="6"/>
        <v>11.984933348732818</v>
      </c>
      <c r="Q54" s="7">
        <f t="shared" si="7"/>
        <v>4.4000000000000004</v>
      </c>
      <c r="R54" s="16">
        <f>Table22[[#This Row],[Black-Scholes Straddle]]</f>
        <v>23.969866697465637</v>
      </c>
      <c r="S54" s="16">
        <f>Table22[[#This Row],[Approximated Straddle]]</f>
        <v>24.406808633910082</v>
      </c>
      <c r="T54" s="6">
        <f>Table22[[#This Row],[Error]]</f>
        <v>1.8228801267828665E-2</v>
      </c>
    </row>
    <row r="55" spans="6:20" x14ac:dyDescent="0.25">
      <c r="F55" s="20">
        <f t="shared" si="8"/>
        <v>4.5</v>
      </c>
      <c r="G55" s="4">
        <f t="shared" si="0"/>
        <v>24.497381013049317</v>
      </c>
      <c r="H55" s="4">
        <f t="shared" si="1"/>
        <v>24.961508830135312</v>
      </c>
      <c r="I55" s="6">
        <f t="shared" si="3"/>
        <v>1.8946017814670091E-2</v>
      </c>
      <c r="J55" s="22" cm="1">
        <f t="array" ref="J55">D_one($D$1,$D$2,$D$5,$D$3,$D$3,F55)</f>
        <v>0.31201886037669141</v>
      </c>
      <c r="K55" s="23">
        <f t="shared" si="4"/>
        <v>0.62248690506524662</v>
      </c>
      <c r="L55" s="24">
        <f t="shared" si="2"/>
        <v>-0.31201886037669141</v>
      </c>
      <c r="M55" s="23">
        <f t="shared" si="5"/>
        <v>0.37751309493475338</v>
      </c>
      <c r="N55" s="25" cm="1">
        <f t="array" ref="N55">GBlackScholes("c",$D$1,$D$2,$D$5,$D$3,$D$3,F55)</f>
        <v>12.248690506524659</v>
      </c>
      <c r="O55" s="4">
        <f t="shared" si="6"/>
        <v>12.248690506524659</v>
      </c>
      <c r="Q55" s="7">
        <f t="shared" si="7"/>
        <v>4.5</v>
      </c>
      <c r="R55" s="16">
        <f>Table22[[#This Row],[Black-Scholes Straddle]]</f>
        <v>24.497381013049317</v>
      </c>
      <c r="S55" s="16">
        <f>Table22[[#This Row],[Approximated Straddle]]</f>
        <v>24.961508830135312</v>
      </c>
      <c r="T55" s="6">
        <f>Table22[[#This Row],[Error]]</f>
        <v>1.8946017814670091E-2</v>
      </c>
    </row>
    <row r="56" spans="6:20" x14ac:dyDescent="0.25">
      <c r="F56" s="20">
        <f t="shared" si="8"/>
        <v>4.5999999999999996</v>
      </c>
      <c r="G56" s="4">
        <f t="shared" si="0"/>
        <v>25.023755309905617</v>
      </c>
      <c r="H56" s="4">
        <f t="shared" si="1"/>
        <v>25.516209026360542</v>
      </c>
      <c r="I56" s="6">
        <f t="shared" si="3"/>
        <v>1.9679449001804628E-2</v>
      </c>
      <c r="J56" s="22" cm="1">
        <f t="array" ref="J56">D_one($D$1,$D$2,$D$5,$D$3,$D$3,F56)</f>
        <v>0.31895261282950671</v>
      </c>
      <c r="K56" s="23">
        <f t="shared" si="4"/>
        <v>0.62511877654952808</v>
      </c>
      <c r="L56" s="24">
        <f t="shared" si="2"/>
        <v>-0.31895261282950671</v>
      </c>
      <c r="M56" s="23">
        <f t="shared" si="5"/>
        <v>0.37488122345047192</v>
      </c>
      <c r="N56" s="25" cm="1">
        <f t="array" ref="N56">GBlackScholes("c",$D$1,$D$2,$D$5,$D$3,$D$3,F56)</f>
        <v>12.511877654952809</v>
      </c>
      <c r="O56" s="4">
        <f t="shared" si="6"/>
        <v>12.511877654952809</v>
      </c>
      <c r="Q56" s="7">
        <f t="shared" si="7"/>
        <v>4.5999999999999996</v>
      </c>
      <c r="R56" s="16">
        <f>Table22[[#This Row],[Black-Scholes Straddle]]</f>
        <v>25.023755309905617</v>
      </c>
      <c r="S56" s="16">
        <f>Table22[[#This Row],[Approximated Straddle]]</f>
        <v>25.516209026360542</v>
      </c>
      <c r="T56" s="6">
        <f>Table22[[#This Row],[Error]]</f>
        <v>1.9679449001804628E-2</v>
      </c>
    </row>
    <row r="57" spans="6:20" x14ac:dyDescent="0.25">
      <c r="F57" s="20">
        <f t="shared" si="8"/>
        <v>4.6999999999999993</v>
      </c>
      <c r="G57" s="4">
        <f t="shared" si="0"/>
        <v>25.548966800687051</v>
      </c>
      <c r="H57" s="4">
        <f t="shared" si="1"/>
        <v>26.070909222585765</v>
      </c>
      <c r="I57" s="6">
        <f t="shared" si="3"/>
        <v>2.0429100948406109E-2</v>
      </c>
      <c r="J57" s="22" cm="1">
        <f t="array" ref="J57">D_one($D$1,$D$2,$D$5,$D$3,$D$3,F57)</f>
        <v>0.32588636528232207</v>
      </c>
      <c r="K57" s="23">
        <f t="shared" si="4"/>
        <v>0.62774483400343528</v>
      </c>
      <c r="L57" s="24">
        <f t="shared" si="2"/>
        <v>-0.32588636528232207</v>
      </c>
      <c r="M57" s="23">
        <f t="shared" si="5"/>
        <v>0.37225516599656472</v>
      </c>
      <c r="N57" s="25" cm="1">
        <f t="array" ref="N57">GBlackScholes("c",$D$1,$D$2,$D$5,$D$3,$D$3,F57)</f>
        <v>12.774483400343525</v>
      </c>
      <c r="O57" s="4">
        <f t="shared" si="6"/>
        <v>12.774483400343525</v>
      </c>
      <c r="Q57" s="7">
        <f t="shared" si="7"/>
        <v>4.6999999999999993</v>
      </c>
      <c r="R57" s="16">
        <f>Table22[[#This Row],[Black-Scholes Straddle]]</f>
        <v>25.548966800687051</v>
      </c>
      <c r="S57" s="16">
        <f>Table22[[#This Row],[Approximated Straddle]]</f>
        <v>26.070909222585765</v>
      </c>
      <c r="T57" s="6">
        <f>Table22[[#This Row],[Error]]</f>
        <v>2.0429100948406109E-2</v>
      </c>
    </row>
    <row r="58" spans="6:20" x14ac:dyDescent="0.25">
      <c r="F58" s="20">
        <f t="shared" si="8"/>
        <v>4.7999999999999989</v>
      </c>
      <c r="G58" s="4">
        <f t="shared" si="0"/>
        <v>26.072992860066968</v>
      </c>
      <c r="H58" s="4">
        <f t="shared" si="1"/>
        <v>26.625609418810992</v>
      </c>
      <c r="I58" s="6">
        <f t="shared" si="3"/>
        <v>2.1194979867094732E-2</v>
      </c>
      <c r="J58" s="22" cm="1">
        <f t="array" ref="J58">D_one($D$1,$D$2,$D$5,$D$3,$D$3,F58)</f>
        <v>0.33282011773513737</v>
      </c>
      <c r="K58" s="23">
        <f t="shared" si="4"/>
        <v>0.63036496430033484</v>
      </c>
      <c r="L58" s="24">
        <f t="shared" si="2"/>
        <v>-0.33282011773513748</v>
      </c>
      <c r="M58" s="23">
        <f t="shared" si="5"/>
        <v>0.36963503569966505</v>
      </c>
      <c r="N58" s="25" cm="1">
        <f t="array" ref="N58">GBlackScholes("c",$D$1,$D$2,$D$5,$D$3,$D$3,F58)</f>
        <v>13.036496430033484</v>
      </c>
      <c r="O58" s="4">
        <f t="shared" si="6"/>
        <v>13.036496430033484</v>
      </c>
      <c r="Q58" s="7">
        <f t="shared" si="7"/>
        <v>4.7999999999999989</v>
      </c>
      <c r="R58" s="16">
        <f>Table22[[#This Row],[Black-Scholes Straddle]]</f>
        <v>26.072992860066968</v>
      </c>
      <c r="S58" s="16">
        <f>Table22[[#This Row],[Approximated Straddle]]</f>
        <v>26.625609418810992</v>
      </c>
      <c r="T58" s="6">
        <f>Table22[[#This Row],[Error]]</f>
        <v>2.1194979867094732E-2</v>
      </c>
    </row>
    <row r="59" spans="6:20" x14ac:dyDescent="0.25">
      <c r="F59" s="20">
        <f t="shared" si="8"/>
        <v>4.8999999999999986</v>
      </c>
      <c r="G59" s="4">
        <f t="shared" si="0"/>
        <v>26.595811027637321</v>
      </c>
      <c r="H59" s="4">
        <f t="shared" si="1"/>
        <v>27.180309615036219</v>
      </c>
      <c r="I59" s="6">
        <f t="shared" si="3"/>
        <v>2.1977092061284065E-2</v>
      </c>
      <c r="J59" s="22" cm="1">
        <f t="array" ref="J59">D_one($D$1,$D$2,$D$5,$D$3,$D$3,F59)</f>
        <v>0.33975387018795278</v>
      </c>
      <c r="K59" s="23">
        <f t="shared" si="4"/>
        <v>0.63297905513818664</v>
      </c>
      <c r="L59" s="24">
        <f t="shared" si="2"/>
        <v>-0.33975387018795278</v>
      </c>
      <c r="M59" s="23">
        <f t="shared" si="5"/>
        <v>0.36702094486181336</v>
      </c>
      <c r="N59" s="25" cm="1">
        <f t="array" ref="N59">GBlackScholes("c",$D$1,$D$2,$D$5,$D$3,$D$3,F59)</f>
        <v>13.297905513818661</v>
      </c>
      <c r="O59" s="4">
        <f t="shared" si="6"/>
        <v>13.297905513818661</v>
      </c>
      <c r="Q59" s="7">
        <f t="shared" si="7"/>
        <v>4.8999999999999986</v>
      </c>
      <c r="R59" s="16">
        <f>Table22[[#This Row],[Black-Scholes Straddle]]</f>
        <v>26.595811027637321</v>
      </c>
      <c r="S59" s="16">
        <f>Table22[[#This Row],[Approximated Straddle]]</f>
        <v>27.180309615036219</v>
      </c>
      <c r="T59" s="6">
        <f>Table22[[#This Row],[Error]]</f>
        <v>2.1977092061284065E-2</v>
      </c>
    </row>
    <row r="60" spans="6:20" x14ac:dyDescent="0.25">
      <c r="F60" s="20">
        <f t="shared" si="8"/>
        <v>4.9999999999999982</v>
      </c>
      <c r="G60" s="4">
        <f t="shared" si="0"/>
        <v>27.117399010768107</v>
      </c>
      <c r="H60" s="4">
        <f t="shared" si="1"/>
        <v>27.735009811261449</v>
      </c>
      <c r="I60" s="6">
        <f t="shared" si="3"/>
        <v>2.2775443922482985E-2</v>
      </c>
      <c r="J60" s="22" cm="1">
        <f t="array" ref="J60">D_one($D$1,$D$2,$D$5,$D$3,$D$3,F60)</f>
        <v>0.34668762264076808</v>
      </c>
      <c r="K60" s="23">
        <f t="shared" si="4"/>
        <v>0.63558699505384053</v>
      </c>
      <c r="L60" s="24">
        <f t="shared" si="2"/>
        <v>-0.34668762264076808</v>
      </c>
      <c r="M60" s="23">
        <f t="shared" si="5"/>
        <v>0.36441300494615947</v>
      </c>
      <c r="N60" s="25" cm="1">
        <f t="array" ref="N60">GBlackScholes("c",$D$1,$D$2,$D$5,$D$3,$D$3,F60)</f>
        <v>13.558699505384054</v>
      </c>
      <c r="O60" s="4">
        <f t="shared" si="6"/>
        <v>13.558699505384054</v>
      </c>
      <c r="Q60" s="7">
        <f t="shared" si="7"/>
        <v>4.9999999999999982</v>
      </c>
      <c r="R60" s="16">
        <f>Table22[[#This Row],[Black-Scholes Straddle]]</f>
        <v>27.117399010768107</v>
      </c>
      <c r="S60" s="16">
        <f>Table22[[#This Row],[Approximated Straddle]]</f>
        <v>27.735009811261449</v>
      </c>
      <c r="T60" s="6">
        <f>Table22[[#This Row],[Error]]</f>
        <v>2.2775443922482985E-2</v>
      </c>
    </row>
    <row r="61" spans="6:20" x14ac:dyDescent="0.25">
      <c r="F61" s="20">
        <f t="shared" si="8"/>
        <v>5.0999999999999979</v>
      </c>
      <c r="G61" s="4">
        <f t="shared" si="0"/>
        <v>27.637734687428093</v>
      </c>
      <c r="H61" s="4">
        <f t="shared" si="1"/>
        <v>28.289710007486676</v>
      </c>
      <c r="I61" s="6">
        <f t="shared" si="3"/>
        <v>2.3590041927537442E-2</v>
      </c>
      <c r="J61" s="22" cm="1">
        <f t="array" ref="J61">D_one($D$1,$D$2,$D$5,$D$3,$D$3,F61)</f>
        <v>0.35362137509358338</v>
      </c>
      <c r="K61" s="23">
        <f t="shared" si="4"/>
        <v>0.63818867343714047</v>
      </c>
      <c r="L61" s="24">
        <f t="shared" si="2"/>
        <v>-0.35362137509358349</v>
      </c>
      <c r="M61" s="23">
        <f t="shared" si="5"/>
        <v>0.36181132656285953</v>
      </c>
      <c r="N61" s="25" cm="1">
        <f t="array" ref="N61">GBlackScholes("c",$D$1,$D$2,$D$5,$D$3,$D$3,F61)</f>
        <v>13.818867343714047</v>
      </c>
      <c r="O61" s="4">
        <f t="shared" si="6"/>
        <v>13.818867343714047</v>
      </c>
      <c r="Q61" s="7">
        <f t="shared" si="7"/>
        <v>5.0999999999999979</v>
      </c>
      <c r="R61" s="16">
        <f>Table22[[#This Row],[Black-Scholes Straddle]]</f>
        <v>27.637734687428093</v>
      </c>
      <c r="S61" s="16">
        <f>Table22[[#This Row],[Approximated Straddle]]</f>
        <v>28.289710007486676</v>
      </c>
      <c r="T61" s="6">
        <f>Table22[[#This Row],[Error]]</f>
        <v>2.3590041927537442E-2</v>
      </c>
    </row>
    <row r="62" spans="6:20" x14ac:dyDescent="0.25">
      <c r="F62" s="20">
        <f t="shared" si="8"/>
        <v>5.1999999999999975</v>
      </c>
      <c r="G62" s="4">
        <f t="shared" si="0"/>
        <v>28.156796108966088</v>
      </c>
      <c r="H62" s="4">
        <f t="shared" si="1"/>
        <v>28.844410203711899</v>
      </c>
      <c r="I62" s="6">
        <f t="shared" si="3"/>
        <v>2.44208926358227E-2</v>
      </c>
      <c r="J62" s="22" cm="1">
        <f t="array" ref="J62">D_one($D$1,$D$2,$D$5,$D$3,$D$3,F62)</f>
        <v>0.36055512754639873</v>
      </c>
      <c r="K62" s="23">
        <f t="shared" si="4"/>
        <v>0.64078398054483054</v>
      </c>
      <c r="L62" s="24">
        <f t="shared" si="2"/>
        <v>-0.36055512754639885</v>
      </c>
      <c r="M62" s="23">
        <f t="shared" si="5"/>
        <v>0.35921601945516951</v>
      </c>
      <c r="N62" s="25" cm="1">
        <f t="array" ref="N62">GBlackScholes("c",$D$1,$D$2,$D$5,$D$3,$D$3,F62)</f>
        <v>14.078398054483044</v>
      </c>
      <c r="O62" s="4">
        <f t="shared" si="6"/>
        <v>14.078398054483044</v>
      </c>
      <c r="Q62" s="7">
        <f t="shared" si="7"/>
        <v>5.1999999999999975</v>
      </c>
      <c r="R62" s="16">
        <f>Table22[[#This Row],[Black-Scholes Straddle]]</f>
        <v>28.156796108966088</v>
      </c>
      <c r="S62" s="16">
        <f>Table22[[#This Row],[Approximated Straddle]]</f>
        <v>28.844410203711899</v>
      </c>
      <c r="T62" s="6">
        <f>Table22[[#This Row],[Error]]</f>
        <v>2.44208926358227E-2</v>
      </c>
    </row>
    <row r="63" spans="6:20" x14ac:dyDescent="0.25">
      <c r="F63" s="20">
        <f t="shared" si="8"/>
        <v>5.2999999999999972</v>
      </c>
      <c r="G63" s="4">
        <f t="shared" si="0"/>
        <v>28.674561502852246</v>
      </c>
      <c r="H63" s="4">
        <f t="shared" si="1"/>
        <v>29.399110399937129</v>
      </c>
      <c r="I63" s="6">
        <f t="shared" si="3"/>
        <v>2.526800268638163E-2</v>
      </c>
      <c r="J63" s="22" cm="1">
        <f t="array" ref="J63">D_one($D$1,$D$2,$D$5,$D$3,$D$3,F63)</f>
        <v>0.36748887999921415</v>
      </c>
      <c r="K63" s="23">
        <f t="shared" si="4"/>
        <v>0.64337280751426129</v>
      </c>
      <c r="L63" s="24">
        <f t="shared" si="2"/>
        <v>-0.36748887999921404</v>
      </c>
      <c r="M63" s="23">
        <f t="shared" si="5"/>
        <v>0.35662719248573871</v>
      </c>
      <c r="N63" s="25" cm="1">
        <f t="array" ref="N63">GBlackScholes("c",$D$1,$D$2,$D$5,$D$3,$D$3,F63)</f>
        <v>14.337280751426123</v>
      </c>
      <c r="O63" s="4">
        <f t="shared" si="6"/>
        <v>14.337280751426123</v>
      </c>
      <c r="Q63" s="7">
        <f t="shared" si="7"/>
        <v>5.2999999999999972</v>
      </c>
      <c r="R63" s="16">
        <f>Table22[[#This Row],[Black-Scholes Straddle]]</f>
        <v>28.674561502852246</v>
      </c>
      <c r="S63" s="16">
        <f>Table22[[#This Row],[Approximated Straddle]]</f>
        <v>29.399110399937129</v>
      </c>
      <c r="T63" s="6">
        <f>Table22[[#This Row],[Error]]</f>
        <v>2.526800268638163E-2</v>
      </c>
    </row>
    <row r="64" spans="6:20" x14ac:dyDescent="0.25">
      <c r="F64" s="20">
        <f t="shared" si="8"/>
        <v>5.3999999999999968</v>
      </c>
      <c r="G64" s="4">
        <f t="shared" si="0"/>
        <v>29.191009275378811</v>
      </c>
      <c r="H64" s="4">
        <f t="shared" si="1"/>
        <v>29.953810596162359</v>
      </c>
      <c r="I64" s="6">
        <f t="shared" si="3"/>
        <v>2.6131378795009041E-2</v>
      </c>
      <c r="J64" s="22" cm="1">
        <f t="array" ref="J64">D_one($D$1,$D$2,$D$5,$D$3,$D$3,F64)</f>
        <v>0.37442263245202945</v>
      </c>
      <c r="K64" s="23">
        <f t="shared" si="4"/>
        <v>0.64595504637689416</v>
      </c>
      <c r="L64" s="24">
        <f t="shared" si="2"/>
        <v>-0.37442263245202945</v>
      </c>
      <c r="M64" s="23">
        <f t="shared" si="5"/>
        <v>0.35404495362310584</v>
      </c>
      <c r="N64" s="25" cm="1">
        <f t="array" ref="N64">GBlackScholes("c",$D$1,$D$2,$D$5,$D$3,$D$3,F64)</f>
        <v>14.595504637689405</v>
      </c>
      <c r="O64" s="4">
        <f t="shared" si="6"/>
        <v>14.595504637689405</v>
      </c>
      <c r="Q64" s="7">
        <f t="shared" si="7"/>
        <v>5.3999999999999968</v>
      </c>
      <c r="R64" s="16">
        <f>Table22[[#This Row],[Black-Scholes Straddle]]</f>
        <v>29.191009275378811</v>
      </c>
      <c r="S64" s="16">
        <f>Table22[[#This Row],[Approximated Straddle]]</f>
        <v>29.953810596162359</v>
      </c>
      <c r="T64" s="6">
        <f>Table22[[#This Row],[Error]]</f>
        <v>2.6131378795009041E-2</v>
      </c>
    </row>
    <row r="65" spans="6:20" x14ac:dyDescent="0.25">
      <c r="F65" s="20">
        <f t="shared" si="8"/>
        <v>5.4999999999999964</v>
      </c>
      <c r="G65" s="4">
        <f t="shared" si="0"/>
        <v>29.706118014319838</v>
      </c>
      <c r="H65" s="4">
        <f t="shared" si="1"/>
        <v>30.508510792387582</v>
      </c>
      <c r="I65" s="6">
        <f t="shared" si="3"/>
        <v>2.7011027751285166E-2</v>
      </c>
      <c r="J65" s="22" cm="1">
        <f t="array" ref="J65">D_one($D$1,$D$2,$D$5,$D$3,$D$3,F65)</f>
        <v>0.3813563849048448</v>
      </c>
      <c r="K65" s="23">
        <f t="shared" si="4"/>
        <v>0.64853059007159919</v>
      </c>
      <c r="L65" s="24">
        <f t="shared" si="2"/>
        <v>-0.3813563849048448</v>
      </c>
      <c r="M65" s="23">
        <f t="shared" si="5"/>
        <v>0.35146940992840081</v>
      </c>
      <c r="N65" s="25" cm="1">
        <f t="array" ref="N65">GBlackScholes("c",$D$1,$D$2,$D$5,$D$3,$D$3,F65)</f>
        <v>14.853059007159919</v>
      </c>
      <c r="O65" s="4">
        <f t="shared" si="6"/>
        <v>14.853059007159919</v>
      </c>
      <c r="Q65" s="7">
        <f t="shared" si="7"/>
        <v>5.4999999999999964</v>
      </c>
      <c r="R65" s="16">
        <f>Table22[[#This Row],[Black-Scholes Straddle]]</f>
        <v>29.706118014319838</v>
      </c>
      <c r="S65" s="16">
        <f>Table22[[#This Row],[Approximated Straddle]]</f>
        <v>30.508510792387582</v>
      </c>
      <c r="T65" s="6">
        <f>Table22[[#This Row],[Error]]</f>
        <v>2.7011027751285166E-2</v>
      </c>
    </row>
    <row r="66" spans="6:20" x14ac:dyDescent="0.25">
      <c r="F66" s="20">
        <f t="shared" si="8"/>
        <v>5.5999999999999961</v>
      </c>
      <c r="G66" s="4">
        <f t="shared" si="0"/>
        <v>30.219866491549109</v>
      </c>
      <c r="H66" s="4">
        <f t="shared" si="1"/>
        <v>31.063210988612809</v>
      </c>
      <c r="I66" s="6">
        <f t="shared" si="3"/>
        <v>2.7906956415559847E-2</v>
      </c>
      <c r="J66" s="22" cm="1">
        <f t="array" ref="J66">D_one($D$1,$D$2,$D$5,$D$3,$D$3,F66)</f>
        <v>0.3882901373576601</v>
      </c>
      <c r="K66" s="23">
        <f t="shared" si="4"/>
        <v>0.65109933245774554</v>
      </c>
      <c r="L66" s="24">
        <f t="shared" si="2"/>
        <v>-0.38829013735766021</v>
      </c>
      <c r="M66" s="23">
        <f t="shared" si="5"/>
        <v>0.34890066754225435</v>
      </c>
      <c r="N66" s="25" cm="1">
        <f t="array" ref="N66">GBlackScholes("c",$D$1,$D$2,$D$5,$D$3,$D$3,F66)</f>
        <v>15.109933245774554</v>
      </c>
      <c r="O66" s="4">
        <f t="shared" si="6"/>
        <v>15.109933245774554</v>
      </c>
      <c r="Q66" s="7">
        <f t="shared" si="7"/>
        <v>5.5999999999999961</v>
      </c>
      <c r="R66" s="16">
        <f>Table22[[#This Row],[Black-Scholes Straddle]]</f>
        <v>30.219866491549109</v>
      </c>
      <c r="S66" s="16">
        <f>Table22[[#This Row],[Approximated Straddle]]</f>
        <v>31.063210988612809</v>
      </c>
      <c r="T66" s="6">
        <f>Table22[[#This Row],[Error]]</f>
        <v>2.7906956415559847E-2</v>
      </c>
    </row>
    <row r="67" spans="6:20" x14ac:dyDescent="0.25">
      <c r="F67" s="20">
        <f t="shared" si="8"/>
        <v>5.6999999999999957</v>
      </c>
      <c r="G67" s="4">
        <f t="shared" si="0"/>
        <v>30.732233665616253</v>
      </c>
      <c r="H67" s="4">
        <f t="shared" si="1"/>
        <v>31.617911184838039</v>
      </c>
      <c r="I67" s="6">
        <f t="shared" si="3"/>
        <v>2.8819171715875003E-2</v>
      </c>
      <c r="J67" s="22" cm="1">
        <f t="array" ref="J67">D_one($D$1,$D$2,$D$5,$D$3,$D$3,F67)</f>
        <v>0.39522388981047546</v>
      </c>
      <c r="K67" s="23">
        <f t="shared" si="4"/>
        <v>0.65366116832808119</v>
      </c>
      <c r="L67" s="24">
        <f t="shared" si="2"/>
        <v>-0.39522388981047546</v>
      </c>
      <c r="M67" s="23">
        <f t="shared" si="5"/>
        <v>0.34633883167191881</v>
      </c>
      <c r="N67" s="25" cm="1">
        <f t="array" ref="N67">GBlackScholes("c",$D$1,$D$2,$D$5,$D$3,$D$3,F67)</f>
        <v>15.366116832808126</v>
      </c>
      <c r="O67" s="4">
        <f t="shared" si="6"/>
        <v>15.366116832808126</v>
      </c>
      <c r="Q67" s="7">
        <f t="shared" si="7"/>
        <v>5.6999999999999957</v>
      </c>
      <c r="R67" s="16">
        <f>Table22[[#This Row],[Black-Scholes Straddle]]</f>
        <v>30.732233665616253</v>
      </c>
      <c r="S67" s="16">
        <f>Table22[[#This Row],[Approximated Straddle]]</f>
        <v>31.617911184838039</v>
      </c>
      <c r="T67" s="6">
        <f>Table22[[#This Row],[Error]]</f>
        <v>2.8819171715875003E-2</v>
      </c>
    </row>
    <row r="68" spans="6:20" x14ac:dyDescent="0.25">
      <c r="F68" s="20">
        <f t="shared" si="8"/>
        <v>5.7999999999999954</v>
      </c>
      <c r="G68" s="4">
        <f t="shared" si="0"/>
        <v>31.24319868427979</v>
      </c>
      <c r="H68" s="4">
        <f t="shared" si="1"/>
        <v>32.17261138106327</v>
      </c>
      <c r="I68" s="6">
        <f t="shared" si="3"/>
        <v>2.9747680644847563E-2</v>
      </c>
      <c r="J68" s="22" cm="1">
        <f t="array" ref="J68">D_one($D$1,$D$2,$D$5,$D$3,$D$3,F68)</f>
        <v>0.40215764226329076</v>
      </c>
      <c r="K68" s="23">
        <f t="shared" si="4"/>
        <v>0.65621599342139891</v>
      </c>
      <c r="L68" s="24">
        <f t="shared" si="2"/>
        <v>-0.40215764226329087</v>
      </c>
      <c r="M68" s="23">
        <f t="shared" si="5"/>
        <v>0.34378400657860098</v>
      </c>
      <c r="N68" s="25" cm="1">
        <f t="array" ref="N68">GBlackScholes("c",$D$1,$D$2,$D$5,$D$3,$D$3,F68)</f>
        <v>15.621599342139895</v>
      </c>
      <c r="O68" s="4">
        <f t="shared" si="6"/>
        <v>15.621599342139895</v>
      </c>
      <c r="Q68" s="7">
        <f t="shared" si="7"/>
        <v>5.7999999999999954</v>
      </c>
      <c r="R68" s="16">
        <f>Table22[[#This Row],[Black-Scholes Straddle]]</f>
        <v>31.24319868427979</v>
      </c>
      <c r="S68" s="16">
        <f>Table22[[#This Row],[Approximated Straddle]]</f>
        <v>32.17261138106327</v>
      </c>
      <c r="T68" s="6">
        <f>Table22[[#This Row],[Error]]</f>
        <v>2.9747680644847563E-2</v>
      </c>
    </row>
    <row r="69" spans="6:20" x14ac:dyDescent="0.25">
      <c r="F69" s="20">
        <f t="shared" si="8"/>
        <v>5.899999999999995</v>
      </c>
      <c r="G69" s="4">
        <f t="shared" si="0"/>
        <v>31.752740886997376</v>
      </c>
      <c r="H69" s="4">
        <f t="shared" si="1"/>
        <v>32.727311577288489</v>
      </c>
      <c r="I69" s="6">
        <f t="shared" si="3"/>
        <v>3.0692490256492899E-2</v>
      </c>
      <c r="J69" s="22" cm="1">
        <f t="array" ref="J69">D_one($D$1,$D$2,$D$5,$D$3,$D$3,F69)</f>
        <v>0.40909139471610612</v>
      </c>
      <c r="K69" s="23">
        <f t="shared" si="4"/>
        <v>0.658763704434987</v>
      </c>
      <c r="L69" s="24">
        <f t="shared" si="2"/>
        <v>-0.40909139471610623</v>
      </c>
      <c r="M69" s="23">
        <f t="shared" si="5"/>
        <v>0.341236295565013</v>
      </c>
      <c r="N69" s="25" cm="1">
        <f t="array" ref="N69">GBlackScholes("c",$D$1,$D$2,$D$5,$D$3,$D$3,F69)</f>
        <v>15.876370443498688</v>
      </c>
      <c r="O69" s="4">
        <f t="shared" si="6"/>
        <v>15.876370443498688</v>
      </c>
      <c r="Q69" s="7">
        <f t="shared" si="7"/>
        <v>5.899999999999995</v>
      </c>
      <c r="R69" s="16">
        <f>Table22[[#This Row],[Black-Scholes Straddle]]</f>
        <v>31.752740886997376</v>
      </c>
      <c r="S69" s="16">
        <f>Table22[[#This Row],[Approximated Straddle]]</f>
        <v>32.727311577288489</v>
      </c>
      <c r="T69" s="6">
        <f>Table22[[#This Row],[Error]]</f>
        <v>3.0692490256492899E-2</v>
      </c>
    </row>
    <row r="70" spans="6:20" x14ac:dyDescent="0.25">
      <c r="F70" s="20">
        <f t="shared" si="8"/>
        <v>5.9999999999999947</v>
      </c>
      <c r="G70" s="4">
        <f t="shared" si="0"/>
        <v>32.260839807372228</v>
      </c>
      <c r="H70" s="4">
        <f t="shared" si="1"/>
        <v>33.282011773513716</v>
      </c>
      <c r="I70" s="6">
        <f t="shared" si="3"/>
        <v>3.165360766300096E-2</v>
      </c>
      <c r="J70" s="22" cm="1">
        <f t="array" ref="J70">D_one($D$1,$D$2,$D$5,$D$3,$D$3,F70)</f>
        <v>0.41602514716892147</v>
      </c>
      <c r="K70" s="23">
        <f t="shared" si="4"/>
        <v>0.66130419903686111</v>
      </c>
      <c r="L70" s="24">
        <f t="shared" si="2"/>
        <v>-0.41602514716892147</v>
      </c>
      <c r="M70" s="23">
        <f t="shared" si="5"/>
        <v>0.33869580096313884</v>
      </c>
      <c r="N70" s="25" cm="1">
        <f t="array" ref="N70">GBlackScholes("c",$D$1,$D$2,$D$5,$D$3,$D$3,F70)</f>
        <v>16.130419903686114</v>
      </c>
      <c r="O70" s="4">
        <f t="shared" si="6"/>
        <v>16.130419903686114</v>
      </c>
      <c r="Q70" s="7">
        <f t="shared" si="7"/>
        <v>5.9999999999999947</v>
      </c>
      <c r="R70" s="16">
        <f>Table22[[#This Row],[Black-Scholes Straddle]]</f>
        <v>32.260839807372228</v>
      </c>
      <c r="S70" s="16">
        <f>Table22[[#This Row],[Approximated Straddle]]</f>
        <v>33.282011773513716</v>
      </c>
      <c r="T70" s="6">
        <f>Table22[[#This Row],[Error]]</f>
        <v>3.165360766300096E-2</v>
      </c>
    </row>
    <row r="71" spans="6:20" x14ac:dyDescent="0.25">
      <c r="F71" s="20">
        <f t="shared" si="8"/>
        <v>6.0999999999999943</v>
      </c>
      <c r="G71" s="4">
        <f t="shared" si="0"/>
        <v>32.767475175555496</v>
      </c>
      <c r="H71" s="4">
        <f t="shared" si="1"/>
        <v>33.83671196973895</v>
      </c>
      <c r="I71" s="6">
        <f t="shared" si="3"/>
        <v>3.2631040031460889E-2</v>
      </c>
      <c r="J71" s="22" cm="1">
        <f t="array" ref="J71">D_one($D$1,$D$2,$D$5,$D$3,$D$3,F71)</f>
        <v>0.42295889962173683</v>
      </c>
      <c r="K71" s="23">
        <f t="shared" si="4"/>
        <v>0.66383737587777747</v>
      </c>
      <c r="L71" s="24">
        <f t="shared" si="2"/>
        <v>-0.42295889962173683</v>
      </c>
      <c r="M71" s="23">
        <f t="shared" si="5"/>
        <v>0.33616262412222253</v>
      </c>
      <c r="N71" s="25" cm="1">
        <f t="array" ref="N71">GBlackScholes("c",$D$1,$D$2,$D$5,$D$3,$D$3,F71)</f>
        <v>16.383737587777748</v>
      </c>
      <c r="O71" s="4">
        <f t="shared" si="6"/>
        <v>16.383737587777748</v>
      </c>
      <c r="Q71" s="7">
        <f t="shared" si="7"/>
        <v>6.0999999999999943</v>
      </c>
      <c r="R71" s="16">
        <f>Table22[[#This Row],[Black-Scholes Straddle]]</f>
        <v>32.767475175555496</v>
      </c>
      <c r="S71" s="16">
        <f>Table22[[#This Row],[Approximated Straddle]]</f>
        <v>33.83671196973895</v>
      </c>
      <c r="T71" s="6">
        <f>Table22[[#This Row],[Error]]</f>
        <v>3.2631040031460889E-2</v>
      </c>
    </row>
    <row r="72" spans="6:20" x14ac:dyDescent="0.25">
      <c r="F72" s="20">
        <f t="shared" si="8"/>
        <v>6.199999999999994</v>
      </c>
      <c r="G72" s="4">
        <f t="shared" si="0"/>
        <v>33.272626920604118</v>
      </c>
      <c r="H72" s="4">
        <f t="shared" si="1"/>
        <v>34.391412165964176</v>
      </c>
      <c r="I72" s="6">
        <f t="shared" si="3"/>
        <v>3.3624794580533912E-2</v>
      </c>
      <c r="J72" s="22" cm="1">
        <f t="array" ref="J72">D_one($D$1,$D$2,$D$5,$D$3,$D$3,F72)</f>
        <v>0.42989265207455218</v>
      </c>
      <c r="K72" s="23">
        <f t="shared" si="4"/>
        <v>0.66636313460302066</v>
      </c>
      <c r="L72" s="24">
        <f t="shared" si="2"/>
        <v>-0.42989265207455218</v>
      </c>
      <c r="M72" s="23">
        <f t="shared" si="5"/>
        <v>0.33363686539697934</v>
      </c>
      <c r="N72" s="25" cm="1">
        <f t="array" ref="N72">GBlackScholes("c",$D$1,$D$2,$D$5,$D$3,$D$3,F72)</f>
        <v>16.636313460302059</v>
      </c>
      <c r="O72" s="4">
        <f t="shared" si="6"/>
        <v>16.636313460302059</v>
      </c>
      <c r="Q72" s="7">
        <f t="shared" si="7"/>
        <v>6.199999999999994</v>
      </c>
      <c r="R72" s="16">
        <f>Table22[[#This Row],[Black-Scholes Straddle]]</f>
        <v>33.272626920604118</v>
      </c>
      <c r="S72" s="16">
        <f>Table22[[#This Row],[Approximated Straddle]]</f>
        <v>34.391412165964176</v>
      </c>
      <c r="T72" s="6">
        <f>Table22[[#This Row],[Error]]</f>
        <v>3.3624794580533912E-2</v>
      </c>
    </row>
    <row r="73" spans="6:20" x14ac:dyDescent="0.25">
      <c r="F73" s="20">
        <f t="shared" si="8"/>
        <v>6.2999999999999936</v>
      </c>
      <c r="G73" s="4">
        <f t="shared" si="0"/>
        <v>33.776275172793689</v>
      </c>
      <c r="H73" s="4">
        <f t="shared" si="1"/>
        <v>34.946112362189403</v>
      </c>
      <c r="I73" s="6">
        <f t="shared" si="3"/>
        <v>3.463487857707892E-2</v>
      </c>
      <c r="J73" s="22" cm="1">
        <f t="array" ref="J73">D_one($D$1,$D$2,$D$5,$D$3,$D$3,F73)</f>
        <v>0.43682640452736748</v>
      </c>
      <c r="K73" s="23">
        <f t="shared" si="4"/>
        <v>0.66888137586396845</v>
      </c>
      <c r="L73" s="24">
        <f t="shared" si="2"/>
        <v>-0.43682640452736748</v>
      </c>
      <c r="M73" s="23">
        <f t="shared" si="5"/>
        <v>0.33111862413603155</v>
      </c>
      <c r="N73" s="25" cm="1">
        <f t="array" ref="N73">GBlackScholes("c",$D$1,$D$2,$D$5,$D$3,$D$3,F73)</f>
        <v>16.888137586396844</v>
      </c>
      <c r="O73" s="4">
        <f t="shared" si="6"/>
        <v>16.888137586396844</v>
      </c>
      <c r="Q73" s="7">
        <f t="shared" si="7"/>
        <v>6.2999999999999936</v>
      </c>
      <c r="R73" s="16">
        <f>Table22[[#This Row],[Black-Scholes Straddle]]</f>
        <v>33.776275172793689</v>
      </c>
      <c r="S73" s="16">
        <f>Table22[[#This Row],[Approximated Straddle]]</f>
        <v>34.946112362189403</v>
      </c>
      <c r="T73" s="6">
        <f>Table22[[#This Row],[Error]]</f>
        <v>3.463487857707892E-2</v>
      </c>
    </row>
    <row r="74" spans="6:20" x14ac:dyDescent="0.25">
      <c r="F74" s="20">
        <f t="shared" si="8"/>
        <v>6.3999999999999932</v>
      </c>
      <c r="G74" s="4">
        <f t="shared" si="0"/>
        <v>34.27840026588585</v>
      </c>
      <c r="H74" s="4">
        <f t="shared" si="1"/>
        <v>35.500812558414623</v>
      </c>
      <c r="I74" s="6">
        <f t="shared" si="3"/>
        <v>3.566129933272677E-2</v>
      </c>
      <c r="J74" s="22" cm="1">
        <f t="array" ref="J74">D_one($D$1,$D$2,$D$5,$D$3,$D$3,F74)</f>
        <v>0.44376015698018284</v>
      </c>
      <c r="K74" s="23">
        <f t="shared" si="4"/>
        <v>0.67139200132942933</v>
      </c>
      <c r="L74" s="24">
        <f t="shared" si="2"/>
        <v>-0.44376015698018284</v>
      </c>
      <c r="M74" s="23">
        <f t="shared" si="5"/>
        <v>0.32860799867057067</v>
      </c>
      <c r="N74" s="25" cm="1">
        <f t="array" ref="N74">GBlackScholes("c",$D$1,$D$2,$D$5,$D$3,$D$3,F74)</f>
        <v>17.139200132942925</v>
      </c>
      <c r="O74" s="4">
        <f t="shared" si="6"/>
        <v>17.139200132942925</v>
      </c>
      <c r="Q74" s="7">
        <f t="shared" si="7"/>
        <v>6.3999999999999932</v>
      </c>
      <c r="R74" s="16">
        <f>Table22[[#This Row],[Black-Scholes Straddle]]</f>
        <v>34.27840026588585</v>
      </c>
      <c r="S74" s="16">
        <f>Table22[[#This Row],[Approximated Straddle]]</f>
        <v>35.500812558414623</v>
      </c>
      <c r="T74" s="6">
        <f>Table22[[#This Row],[Error]]</f>
        <v>3.566129933272677E-2</v>
      </c>
    </row>
    <row r="75" spans="6:20" x14ac:dyDescent="0.25">
      <c r="F75" s="20">
        <f t="shared" si="8"/>
        <v>6.4999999999999929</v>
      </c>
      <c r="G75" s="4">
        <f t="shared" ref="G75:G92" si="9">N75*2</f>
        <v>34.778982739349999</v>
      </c>
      <c r="H75" s="4">
        <f t="shared" ref="H75:H92" si="10">0.8*$D$1*F75*SQRT($D$5)</f>
        <v>36.055512754639857</v>
      </c>
      <c r="I75" s="6">
        <f t="shared" si="3"/>
        <v>3.6704064200404396E-2</v>
      </c>
      <c r="J75" s="22" cm="1">
        <f t="array" ref="J75">D_one($D$1,$D$2,$D$5,$D$3,$D$3,F75)</f>
        <v>0.4506939094329982</v>
      </c>
      <c r="K75" s="23">
        <f t="shared" si="4"/>
        <v>0.67389491369675003</v>
      </c>
      <c r="L75" s="24">
        <f t="shared" ref="L75:L92" si="11">J75-(F75*SQRT($D$5))</f>
        <v>-0.4506939094329982</v>
      </c>
      <c r="M75" s="23">
        <f t="shared" si="5"/>
        <v>0.32610508630324997</v>
      </c>
      <c r="N75" s="25" cm="1">
        <f t="array" ref="N75">GBlackScholes("c",$D$1,$D$2,$D$5,$D$3,$D$3,F75)</f>
        <v>17.389491369675</v>
      </c>
      <c r="O75" s="4">
        <f t="shared" si="6"/>
        <v>17.389491369675</v>
      </c>
      <c r="Q75" s="7">
        <f t="shared" si="7"/>
        <v>6.4999999999999929</v>
      </c>
      <c r="R75" s="16">
        <f>Table22[[#This Row],[Black-Scholes Straddle]]</f>
        <v>34.778982739349999</v>
      </c>
      <c r="S75" s="16">
        <f>Table22[[#This Row],[Approximated Straddle]]</f>
        <v>36.055512754639857</v>
      </c>
      <c r="T75" s="6">
        <f>Table22[[#This Row],[Error]]</f>
        <v>3.6704064200404396E-2</v>
      </c>
    </row>
    <row r="76" spans="6:20" x14ac:dyDescent="0.25">
      <c r="F76" s="20">
        <f t="shared" si="8"/>
        <v>6.5999999999999925</v>
      </c>
      <c r="G76" s="4">
        <f t="shared" si="9"/>
        <v>35.278003340538554</v>
      </c>
      <c r="H76" s="4">
        <f t="shared" si="10"/>
        <v>36.610212950865083</v>
      </c>
      <c r="I76" s="6">
        <f t="shared" ref="I76:I92" si="12">H76/G76-1</f>
        <v>3.7763180570813848E-2</v>
      </c>
      <c r="J76" s="22" cm="1">
        <f t="array" ref="J76">D_one($D$1,$D$2,$D$5,$D$3,$D$3,F76)</f>
        <v>0.45762766188581355</v>
      </c>
      <c r="K76" s="23">
        <f t="shared" si="4"/>
        <v>0.67639001670269283</v>
      </c>
      <c r="L76" s="24">
        <f t="shared" si="11"/>
        <v>-0.45762766188581355</v>
      </c>
      <c r="M76" s="23">
        <f t="shared" si="5"/>
        <v>0.32360998329730722</v>
      </c>
      <c r="N76" s="25" cm="1">
        <f t="array" ref="N76">GBlackScholes("c",$D$1,$D$2,$D$5,$D$3,$D$3,F76)</f>
        <v>17.639001670269277</v>
      </c>
      <c r="O76" s="4">
        <f t="shared" ref="O76:O92" si="13">N76-($D$1-$D$2)</f>
        <v>17.639001670269277</v>
      </c>
      <c r="Q76" s="7">
        <f t="shared" ref="Q76:Q89" si="14">F76</f>
        <v>6.5999999999999925</v>
      </c>
      <c r="R76" s="16">
        <f>Table22[[#This Row],[Black-Scholes Straddle]]</f>
        <v>35.278003340538554</v>
      </c>
      <c r="S76" s="16">
        <f>Table22[[#This Row],[Approximated Straddle]]</f>
        <v>36.610212950865083</v>
      </c>
      <c r="T76" s="6">
        <f>Table22[[#This Row],[Error]]</f>
        <v>3.7763180570813848E-2</v>
      </c>
    </row>
    <row r="77" spans="6:20" x14ac:dyDescent="0.25">
      <c r="F77" s="20">
        <f t="shared" ref="F77:F92" si="15">F76+0.1</f>
        <v>6.6999999999999922</v>
      </c>
      <c r="G77" s="4">
        <f t="shared" si="9"/>
        <v>35.775443026815893</v>
      </c>
      <c r="H77" s="4">
        <f t="shared" si="10"/>
        <v>37.164913147090303</v>
      </c>
      <c r="I77" s="6">
        <f t="shared" si="12"/>
        <v>3.8838655868857153E-2</v>
      </c>
      <c r="J77" s="22" cm="1">
        <f t="array" ref="J77">D_one($D$1,$D$2,$D$5,$D$3,$D$3,F77)</f>
        <v>0.46456141433862885</v>
      </c>
      <c r="K77" s="23">
        <f t="shared" si="4"/>
        <v>0.6788772151340795</v>
      </c>
      <c r="L77" s="24">
        <f t="shared" si="11"/>
        <v>-0.46456141433862885</v>
      </c>
      <c r="M77" s="23">
        <f t="shared" si="5"/>
        <v>0.3211227848659205</v>
      </c>
      <c r="N77" s="25" cm="1">
        <f t="array" ref="N77">GBlackScholes("c",$D$1,$D$2,$D$5,$D$3,$D$3,F77)</f>
        <v>17.887721513407946</v>
      </c>
      <c r="O77" s="4">
        <f t="shared" si="13"/>
        <v>17.887721513407946</v>
      </c>
      <c r="Q77" s="7">
        <f t="shared" si="14"/>
        <v>6.6999999999999922</v>
      </c>
      <c r="R77" s="16">
        <f>Table22[[#This Row],[Black-Scholes Straddle]]</f>
        <v>35.775443026815893</v>
      </c>
      <c r="S77" s="16">
        <f>Table22[[#This Row],[Approximated Straddle]]</f>
        <v>37.164913147090303</v>
      </c>
      <c r="T77" s="6">
        <f>Table22[[#This Row],[Error]]</f>
        <v>3.8838655868857153E-2</v>
      </c>
    </row>
    <row r="78" spans="6:20" x14ac:dyDescent="0.25">
      <c r="F78" s="20">
        <f t="shared" si="15"/>
        <v>6.7999999999999918</v>
      </c>
      <c r="G78" s="4">
        <f t="shared" si="9"/>
        <v>36.271282967640126</v>
      </c>
      <c r="H78" s="4">
        <f t="shared" si="10"/>
        <v>37.719613343315537</v>
      </c>
      <c r="I78" s="6">
        <f t="shared" si="12"/>
        <v>3.9930497550019206E-2</v>
      </c>
      <c r="J78" s="22" cm="1">
        <f t="array" ref="J78">D_one($D$1,$D$2,$D$5,$D$3,$D$3,F78)</f>
        <v>0.47149516679144421</v>
      </c>
      <c r="K78" s="23">
        <f t="shared" si="4"/>
        <v>0.68135641483820075</v>
      </c>
      <c r="L78" s="24">
        <f t="shared" si="11"/>
        <v>-0.47149516679144421</v>
      </c>
      <c r="M78" s="23">
        <f t="shared" si="5"/>
        <v>0.3186435851617993</v>
      </c>
      <c r="N78" s="25" cm="1">
        <f t="array" ref="N78">GBlackScholes("c",$D$1,$D$2,$D$5,$D$3,$D$3,F78)</f>
        <v>18.135641483820063</v>
      </c>
      <c r="O78" s="4">
        <f t="shared" si="13"/>
        <v>18.135641483820063</v>
      </c>
      <c r="Q78" s="7">
        <f t="shared" si="14"/>
        <v>6.7999999999999918</v>
      </c>
      <c r="R78" s="16">
        <f>Table22[[#This Row],[Black-Scholes Straddle]]</f>
        <v>36.271282967640126</v>
      </c>
      <c r="S78" s="16">
        <f>Table22[[#This Row],[Approximated Straddle]]</f>
        <v>37.719613343315537</v>
      </c>
      <c r="T78" s="6">
        <f>Table22[[#This Row],[Error]]</f>
        <v>3.9930497550019206E-2</v>
      </c>
    </row>
    <row r="79" spans="6:20" x14ac:dyDescent="0.25">
      <c r="F79" s="20">
        <f t="shared" si="15"/>
        <v>6.8999999999999915</v>
      </c>
      <c r="G79" s="4">
        <f t="shared" si="9"/>
        <v>36.765504546597654</v>
      </c>
      <c r="H79" s="4">
        <f t="shared" si="10"/>
        <v>38.274313539540763</v>
      </c>
      <c r="I79" s="6">
        <f t="shared" si="12"/>
        <v>4.1038713096696489E-2</v>
      </c>
      <c r="J79" s="22" cm="1">
        <f t="array" ref="J79">D_one($D$1,$D$2,$D$5,$D$3,$D$3,F79)</f>
        <v>0.47842891924425957</v>
      </c>
      <c r="K79" s="23">
        <f t="shared" si="4"/>
        <v>0.6838275227329883</v>
      </c>
      <c r="L79" s="24">
        <f t="shared" si="11"/>
        <v>-0.47842891924425957</v>
      </c>
      <c r="M79" s="23">
        <f t="shared" si="5"/>
        <v>0.3161724772670117</v>
      </c>
      <c r="N79" s="25" cm="1">
        <f t="array" ref="N79">GBlackScholes("c",$D$1,$D$2,$D$5,$D$3,$D$3,F79)</f>
        <v>18.382752273298827</v>
      </c>
      <c r="O79" s="4">
        <f t="shared" si="13"/>
        <v>18.382752273298827</v>
      </c>
      <c r="Q79" s="7">
        <f t="shared" si="14"/>
        <v>6.8999999999999915</v>
      </c>
      <c r="R79" s="16">
        <f>Table22[[#This Row],[Black-Scholes Straddle]]</f>
        <v>36.765504546597654</v>
      </c>
      <c r="S79" s="16">
        <f>Table22[[#This Row],[Approximated Straddle]]</f>
        <v>38.274313539540763</v>
      </c>
      <c r="T79" s="6">
        <f>Table22[[#This Row],[Error]]</f>
        <v>4.1038713096696489E-2</v>
      </c>
    </row>
    <row r="80" spans="6:20" x14ac:dyDescent="0.25">
      <c r="F80" s="20">
        <f t="shared" si="15"/>
        <v>6.9999999999999911</v>
      </c>
      <c r="G80" s="4">
        <f t="shared" si="9"/>
        <v>37.258089363389992</v>
      </c>
      <c r="H80" s="4">
        <f t="shared" si="10"/>
        <v>38.82901373576599</v>
      </c>
      <c r="I80" s="6">
        <f t="shared" si="12"/>
        <v>4.2163310014484923E-2</v>
      </c>
      <c r="J80" s="22" cm="1">
        <f t="array" ref="J80">D_one($D$1,$D$2,$D$5,$D$3,$D$3,F80)</f>
        <v>0.48536267169707481</v>
      </c>
      <c r="K80" s="23">
        <f t="shared" si="4"/>
        <v>0.68629044681694995</v>
      </c>
      <c r="L80" s="24">
        <f t="shared" si="11"/>
        <v>-0.48536267169707492</v>
      </c>
      <c r="M80" s="23">
        <f t="shared" si="5"/>
        <v>0.31370955318305005</v>
      </c>
      <c r="N80" s="25" cm="1">
        <f t="array" ref="N80">GBlackScholes("c",$D$1,$D$2,$D$5,$D$3,$D$3,F80)</f>
        <v>18.629044681694996</v>
      </c>
      <c r="O80" s="4">
        <f t="shared" si="13"/>
        <v>18.629044681694996</v>
      </c>
      <c r="Q80" s="7">
        <f t="shared" si="14"/>
        <v>6.9999999999999911</v>
      </c>
      <c r="R80" s="16">
        <f>Table22[[#This Row],[Black-Scholes Straddle]]</f>
        <v>37.258089363389992</v>
      </c>
      <c r="S80" s="16">
        <f>Table22[[#This Row],[Approximated Straddle]]</f>
        <v>38.82901373576599</v>
      </c>
      <c r="T80" s="6">
        <f>Table22[[#This Row],[Error]]</f>
        <v>4.2163310014484923E-2</v>
      </c>
    </row>
    <row r="81" spans="6:20" x14ac:dyDescent="0.25">
      <c r="F81" s="20">
        <f t="shared" si="15"/>
        <v>7.0999999999999908</v>
      </c>
      <c r="G81" s="4">
        <f t="shared" si="9"/>
        <v>37.749019235772693</v>
      </c>
      <c r="H81" s="4">
        <f t="shared" si="10"/>
        <v>39.383713931991224</v>
      </c>
      <c r="I81" s="6">
        <f t="shared" si="12"/>
        <v>4.3304295828417771E-2</v>
      </c>
      <c r="J81" s="22" cm="1">
        <f t="array" ref="J81">D_one($D$1,$D$2,$D$5,$D$3,$D$3,F81)</f>
        <v>0.49229642414989022</v>
      </c>
      <c r="K81" s="23">
        <f t="shared" si="4"/>
        <v>0.68874509617886348</v>
      </c>
      <c r="L81" s="24">
        <f t="shared" si="11"/>
        <v>-0.49229642414989022</v>
      </c>
      <c r="M81" s="23">
        <f t="shared" si="5"/>
        <v>0.31125490382113646</v>
      </c>
      <c r="N81" s="25" cm="1">
        <f t="array" ref="N81">GBlackScholes("c",$D$1,$D$2,$D$5,$D$3,$D$3,F81)</f>
        <v>18.874509617886346</v>
      </c>
      <c r="O81" s="4">
        <f t="shared" si="13"/>
        <v>18.874509617886346</v>
      </c>
      <c r="Q81" s="7">
        <f t="shared" si="14"/>
        <v>7.0999999999999908</v>
      </c>
      <c r="R81" s="16">
        <f>Table22[[#This Row],[Black-Scholes Straddle]]</f>
        <v>37.749019235772693</v>
      </c>
      <c r="S81" s="16">
        <f>Table22[[#This Row],[Approximated Straddle]]</f>
        <v>39.383713931991224</v>
      </c>
      <c r="T81" s="6">
        <f>Table22[[#This Row],[Error]]</f>
        <v>4.3304295828417771E-2</v>
      </c>
    </row>
    <row r="82" spans="6:20" x14ac:dyDescent="0.25">
      <c r="F82" s="20">
        <f t="shared" si="15"/>
        <v>7.1999999999999904</v>
      </c>
      <c r="G82" s="4">
        <f t="shared" si="9"/>
        <v>38.238276201446027</v>
      </c>
      <c r="H82" s="4">
        <f t="shared" si="10"/>
        <v>39.938414128216444</v>
      </c>
      <c r="I82" s="6">
        <f t="shared" si="12"/>
        <v>4.4461678079152689E-2</v>
      </c>
      <c r="J82" s="22" cm="1">
        <f t="array" ref="J82">D_one($D$1,$D$2,$D$5,$D$3,$D$3,F82)</f>
        <v>0.49923017660270552</v>
      </c>
      <c r="K82" s="23">
        <f t="shared" si="4"/>
        <v>0.6911913810072301</v>
      </c>
      <c r="L82" s="24">
        <f t="shared" si="11"/>
        <v>-0.49923017660270563</v>
      </c>
      <c r="M82" s="23">
        <f t="shared" si="5"/>
        <v>0.30880861899276979</v>
      </c>
      <c r="N82" s="25" cm="1">
        <f t="array" ref="N82">GBlackScholes("c",$D$1,$D$2,$D$5,$D$3,$D$3,F82)</f>
        <v>19.119138100723013</v>
      </c>
      <c r="O82" s="4">
        <f t="shared" si="13"/>
        <v>19.119138100723013</v>
      </c>
      <c r="Q82" s="7">
        <f t="shared" si="14"/>
        <v>7.1999999999999904</v>
      </c>
      <c r="R82" s="16">
        <f>Table22[[#This Row],[Black-Scholes Straddle]]</f>
        <v>38.238276201446027</v>
      </c>
      <c r="S82" s="16">
        <f>Table22[[#This Row],[Approximated Straddle]]</f>
        <v>39.938414128216444</v>
      </c>
      <c r="T82" s="6">
        <f>Table22[[#This Row],[Error]]</f>
        <v>4.4461678079152689E-2</v>
      </c>
    </row>
    <row r="83" spans="6:20" x14ac:dyDescent="0.25">
      <c r="F83" s="20">
        <f t="shared" si="15"/>
        <v>7.2999999999999901</v>
      </c>
      <c r="G83" s="4">
        <f t="shared" si="9"/>
        <v>38.725842519896858</v>
      </c>
      <c r="H83" s="4">
        <f t="shared" si="10"/>
        <v>40.49311432444167</v>
      </c>
      <c r="I83" s="6">
        <f t="shared" si="12"/>
        <v>4.5635464319125241E-2</v>
      </c>
      <c r="J83" s="22" cm="1">
        <f t="array" ref="J83">D_one($D$1,$D$2,$D$5,$D$3,$D$3,F83)</f>
        <v>0.50616392905552088</v>
      </c>
      <c r="K83" s="23">
        <f t="shared" si="4"/>
        <v>0.69362921259948429</v>
      </c>
      <c r="L83" s="24">
        <f t="shared" si="11"/>
        <v>-0.50616392905552088</v>
      </c>
      <c r="M83" s="23">
        <f t="shared" si="5"/>
        <v>0.30637078740051571</v>
      </c>
      <c r="N83" s="25" cm="1">
        <f t="array" ref="N83">GBlackScholes("c",$D$1,$D$2,$D$5,$D$3,$D$3,F83)</f>
        <v>19.362921259948429</v>
      </c>
      <c r="O83" s="4">
        <f t="shared" si="13"/>
        <v>19.362921259948429</v>
      </c>
      <c r="Q83" s="7">
        <f t="shared" si="14"/>
        <v>7.2999999999999901</v>
      </c>
      <c r="R83" s="16">
        <f>Table22[[#This Row],[Black-Scholes Straddle]]</f>
        <v>38.725842519896858</v>
      </c>
      <c r="S83" s="16">
        <f>Table22[[#This Row],[Approximated Straddle]]</f>
        <v>40.49311432444167</v>
      </c>
      <c r="T83" s="6">
        <f>Table22[[#This Row],[Error]]</f>
        <v>4.5635464319125241E-2</v>
      </c>
    </row>
    <row r="84" spans="6:20" x14ac:dyDescent="0.25">
      <c r="F84" s="20">
        <f t="shared" si="15"/>
        <v>7.3999999999999897</v>
      </c>
      <c r="G84" s="4">
        <f t="shared" si="9"/>
        <v>39.211700674192009</v>
      </c>
      <c r="H84" s="4">
        <f t="shared" si="10"/>
        <v>41.047814520666904</v>
      </c>
      <c r="I84" s="6">
        <f t="shared" si="12"/>
        <v>4.6825662108641142E-2</v>
      </c>
      <c r="J84" s="22" cm="1">
        <f t="array" ref="J84">D_one($D$1,$D$2,$D$5,$D$3,$D$3,F84)</f>
        <v>0.51309768150833623</v>
      </c>
      <c r="K84" s="23">
        <f t="shared" si="4"/>
        <v>0.69605850337096009</v>
      </c>
      <c r="L84" s="24">
        <f t="shared" si="11"/>
        <v>-0.51309768150833623</v>
      </c>
      <c r="M84" s="23">
        <f t="shared" si="5"/>
        <v>0.30394149662903991</v>
      </c>
      <c r="N84" s="25" cm="1">
        <f t="array" ref="N84">GBlackScholes("c",$D$1,$D$2,$D$5,$D$3,$D$3,F84)</f>
        <v>19.605850337096005</v>
      </c>
      <c r="O84" s="4">
        <f t="shared" si="13"/>
        <v>19.605850337096005</v>
      </c>
      <c r="Q84" s="7">
        <f t="shared" si="14"/>
        <v>7.3999999999999897</v>
      </c>
      <c r="R84" s="16">
        <f>Table22[[#This Row],[Black-Scholes Straddle]]</f>
        <v>39.211700674192009</v>
      </c>
      <c r="S84" s="16">
        <f>Table22[[#This Row],[Approximated Straddle]]</f>
        <v>41.047814520666904</v>
      </c>
      <c r="T84" s="6">
        <f>Table22[[#This Row],[Error]]</f>
        <v>4.6825662108641142E-2</v>
      </c>
    </row>
    <row r="85" spans="6:20" x14ac:dyDescent="0.25">
      <c r="F85" s="20">
        <f t="shared" si="15"/>
        <v>7.4999999999999893</v>
      </c>
      <c r="G85" s="4">
        <f t="shared" si="9"/>
        <v>39.695833372722177</v>
      </c>
      <c r="H85" s="4">
        <f t="shared" si="10"/>
        <v>41.602514716892124</v>
      </c>
      <c r="I85" s="6">
        <f t="shared" si="12"/>
        <v>4.8032279011936962E-2</v>
      </c>
      <c r="J85" s="22" cm="1">
        <f t="array" ref="J85">D_one($D$1,$D$2,$D$5,$D$3,$D$3,F85)</f>
        <v>0.52003143396115159</v>
      </c>
      <c r="K85" s="23">
        <f t="shared" si="4"/>
        <v>0.69847916686361089</v>
      </c>
      <c r="L85" s="24">
        <f t="shared" si="11"/>
        <v>-0.52003143396115159</v>
      </c>
      <c r="M85" s="23">
        <f t="shared" si="5"/>
        <v>0.30152083313638911</v>
      </c>
      <c r="N85" s="25" cm="1">
        <f t="array" ref="N85">GBlackScholes("c",$D$1,$D$2,$D$5,$D$3,$D$3,F85)</f>
        <v>19.847916686361089</v>
      </c>
      <c r="O85" s="4">
        <f t="shared" si="13"/>
        <v>19.847916686361089</v>
      </c>
      <c r="Q85" s="7">
        <f t="shared" si="14"/>
        <v>7.4999999999999893</v>
      </c>
      <c r="R85" s="16">
        <f>Table22[[#This Row],[Black-Scholes Straddle]]</f>
        <v>39.695833372722177</v>
      </c>
      <c r="S85" s="16">
        <f>Table22[[#This Row],[Approximated Straddle]]</f>
        <v>41.602514716892124</v>
      </c>
      <c r="T85" s="6">
        <f>Table22[[#This Row],[Error]]</f>
        <v>4.8032279011936962E-2</v>
      </c>
    </row>
    <row r="86" spans="6:20" x14ac:dyDescent="0.25">
      <c r="F86" s="20">
        <f t="shared" si="15"/>
        <v>7.599999999999989</v>
      </c>
      <c r="G86" s="4">
        <f t="shared" si="9"/>
        <v>40.178223550896753</v>
      </c>
      <c r="H86" s="4">
        <f t="shared" si="10"/>
        <v>42.15721491311735</v>
      </c>
      <c r="I86" s="6">
        <f t="shared" si="12"/>
        <v>4.9255322593186879E-2</v>
      </c>
      <c r="J86" s="22" cm="1">
        <f t="array" ref="J86">D_one($D$1,$D$2,$D$5,$D$3,$D$3,F86)</f>
        <v>0.52696518641396695</v>
      </c>
      <c r="K86" s="23">
        <f t="shared" si="4"/>
        <v>0.70089111775448376</v>
      </c>
      <c r="L86" s="24">
        <f t="shared" si="11"/>
        <v>-0.52696518641396695</v>
      </c>
      <c r="M86" s="23">
        <f t="shared" si="5"/>
        <v>0.29910888224551624</v>
      </c>
      <c r="N86" s="25" cm="1">
        <f t="array" ref="N86">GBlackScholes("c",$D$1,$D$2,$D$5,$D$3,$D$3,F86)</f>
        <v>20.089111775448377</v>
      </c>
      <c r="O86" s="4">
        <f t="shared" si="13"/>
        <v>20.089111775448377</v>
      </c>
      <c r="Q86" s="7">
        <f t="shared" si="14"/>
        <v>7.599999999999989</v>
      </c>
      <c r="R86" s="16">
        <f>Table22[[#This Row],[Black-Scholes Straddle]]</f>
        <v>40.178223550896753</v>
      </c>
      <c r="S86" s="16">
        <f>Table22[[#This Row],[Approximated Straddle]]</f>
        <v>42.15721491311735</v>
      </c>
      <c r="T86" s="6">
        <f>Table22[[#This Row],[Error]]</f>
        <v>4.9255322593186879E-2</v>
      </c>
    </row>
    <row r="87" spans="6:20" x14ac:dyDescent="0.25">
      <c r="F87" s="20">
        <f t="shared" si="15"/>
        <v>7.6999999999999886</v>
      </c>
      <c r="G87" s="4">
        <f t="shared" si="9"/>
        <v>40.658854372788802</v>
      </c>
      <c r="H87" s="4">
        <f t="shared" si="10"/>
        <v>42.711915109342584</v>
      </c>
      <c r="I87" s="6">
        <f t="shared" si="12"/>
        <v>5.0494800412473229E-2</v>
      </c>
      <c r="J87" s="22" cm="1">
        <f t="array" ref="J87">D_one($D$1,$D$2,$D$5,$D$3,$D$3,F87)</f>
        <v>0.53389893886678219</v>
      </c>
      <c r="K87" s="23">
        <f t="shared" si="4"/>
        <v>0.703294271863944</v>
      </c>
      <c r="L87" s="24">
        <f t="shared" si="11"/>
        <v>-0.53389893886678241</v>
      </c>
      <c r="M87" s="23">
        <f t="shared" si="5"/>
        <v>0.29670572813605595</v>
      </c>
      <c r="N87" s="25" cm="1">
        <f t="array" ref="N87">GBlackScholes("c",$D$1,$D$2,$D$5,$D$3,$D$3,F87)</f>
        <v>20.329427186394401</v>
      </c>
      <c r="O87" s="4">
        <f t="shared" si="13"/>
        <v>20.329427186394401</v>
      </c>
      <c r="Q87" s="7">
        <f t="shared" si="14"/>
        <v>7.6999999999999886</v>
      </c>
      <c r="R87" s="16">
        <f>Table22[[#This Row],[Black-Scholes Straddle]]</f>
        <v>40.658854372788802</v>
      </c>
      <c r="S87" s="16">
        <f>Table22[[#This Row],[Approximated Straddle]]</f>
        <v>42.711915109342584</v>
      </c>
      <c r="T87" s="6">
        <f>Table22[[#This Row],[Error]]</f>
        <v>5.0494800412473229E-2</v>
      </c>
    </row>
    <row r="88" spans="6:20" x14ac:dyDescent="0.25">
      <c r="F88" s="20">
        <f t="shared" si="15"/>
        <v>7.7999999999999883</v>
      </c>
      <c r="G88" s="4">
        <f t="shared" si="9"/>
        <v>41.137709232730508</v>
      </c>
      <c r="H88" s="4">
        <f t="shared" si="10"/>
        <v>43.266615305567811</v>
      </c>
      <c r="I88" s="6">
        <f t="shared" si="12"/>
        <v>5.1750720021704E-2</v>
      </c>
      <c r="J88" s="22" cm="1">
        <f t="array" ref="J88">D_one($D$1,$D$2,$D$5,$D$3,$D$3,F88)</f>
        <v>0.54083269131959755</v>
      </c>
      <c r="K88" s="23">
        <f t="shared" si="4"/>
        <v>0.70568854616365251</v>
      </c>
      <c r="L88" s="24">
        <f t="shared" si="11"/>
        <v>-0.54083269131959777</v>
      </c>
      <c r="M88" s="23">
        <f t="shared" si="5"/>
        <v>0.29431145383634738</v>
      </c>
      <c r="N88" s="25" cm="1">
        <f t="array" ref="N88">GBlackScholes("c",$D$1,$D$2,$D$5,$D$3,$D$3,F88)</f>
        <v>20.568854616365254</v>
      </c>
      <c r="O88" s="4">
        <f t="shared" si="13"/>
        <v>20.568854616365254</v>
      </c>
      <c r="Q88" s="7">
        <f t="shared" si="14"/>
        <v>7.7999999999999883</v>
      </c>
      <c r="R88" s="16">
        <f>Table22[[#This Row],[Black-Scholes Straddle]]</f>
        <v>41.137709232730508</v>
      </c>
      <c r="S88" s="16">
        <f>Table22[[#This Row],[Approximated Straddle]]</f>
        <v>43.266615305567811</v>
      </c>
      <c r="T88" s="6">
        <f>Table22[[#This Row],[Error]]</f>
        <v>5.1750720021704E-2</v>
      </c>
    </row>
    <row r="89" spans="6:20" x14ac:dyDescent="0.25">
      <c r="F89" s="20">
        <f t="shared" si="15"/>
        <v>7.8999999999999879</v>
      </c>
      <c r="G89" s="4">
        <f t="shared" si="9"/>
        <v>41.614771756858303</v>
      </c>
      <c r="H89" s="4">
        <f t="shared" si="10"/>
        <v>43.821315501793038</v>
      </c>
      <c r="I89" s="6">
        <f t="shared" si="12"/>
        <v>5.3023088960498344E-2</v>
      </c>
      <c r="J89" s="22" cm="1">
        <f t="array" ref="J89">D_one($D$1,$D$2,$D$5,$D$3,$D$3,F89)</f>
        <v>0.5477664437724129</v>
      </c>
      <c r="K89" s="23">
        <f t="shared" si="4"/>
        <v>0.70807385878429152</v>
      </c>
      <c r="L89" s="24">
        <f t="shared" si="11"/>
        <v>-0.5477664437724129</v>
      </c>
      <c r="M89" s="23">
        <f t="shared" si="5"/>
        <v>0.29192614121570848</v>
      </c>
      <c r="N89" s="25" cm="1">
        <f t="array" ref="N89">GBlackScholes("c",$D$1,$D$2,$D$5,$D$3,$D$3,F89)</f>
        <v>20.807385878429152</v>
      </c>
      <c r="O89" s="4">
        <f t="shared" si="13"/>
        <v>20.807385878429152</v>
      </c>
      <c r="Q89" s="7">
        <f t="shared" si="14"/>
        <v>7.8999999999999879</v>
      </c>
      <c r="R89" s="16">
        <f>Table22[[#This Row],[Black-Scholes Straddle]]</f>
        <v>41.614771756858303</v>
      </c>
      <c r="S89" s="16">
        <f>Table22[[#This Row],[Approximated Straddle]]</f>
        <v>43.821315501793038</v>
      </c>
      <c r="T89" s="6">
        <f>Table22[[#This Row],[Error]]</f>
        <v>5.3023088960498344E-2</v>
      </c>
    </row>
    <row r="90" spans="6:20" x14ac:dyDescent="0.25">
      <c r="F90" s="20">
        <f t="shared" si="15"/>
        <v>7.9999999999999876</v>
      </c>
      <c r="G90" s="4">
        <f t="shared" si="9"/>
        <v>42.090025804608054</v>
      </c>
      <c r="H90" s="4">
        <f t="shared" si="10"/>
        <v>44.376015698018264</v>
      </c>
      <c r="I90" s="6">
        <f t="shared" si="12"/>
        <v>5.4311914752020352E-2</v>
      </c>
      <c r="J90" s="22" cm="1">
        <f t="array" ref="J90">D_one($D$1,$D$2,$D$5,$D$3,$D$3,F90)</f>
        <v>0.55470019622522826</v>
      </c>
      <c r="K90" s="23">
        <f t="shared" si="4"/>
        <v>0.71045012902304028</v>
      </c>
      <c r="L90" s="24">
        <f t="shared" si="11"/>
        <v>-0.55470019622522826</v>
      </c>
      <c r="M90" s="23">
        <f t="shared" si="5"/>
        <v>0.28954987097695972</v>
      </c>
      <c r="N90" s="25" cm="1">
        <f t="array" ref="N90">GBlackScholes("c",$D$1,$D$2,$D$5,$D$3,$D$3,F90)</f>
        <v>21.045012902304027</v>
      </c>
      <c r="O90" s="4">
        <f t="shared" si="13"/>
        <v>21.045012902304027</v>
      </c>
    </row>
    <row r="91" spans="6:20" x14ac:dyDescent="0.25">
      <c r="F91" s="20">
        <f t="shared" si="15"/>
        <v>8.0999999999999872</v>
      </c>
      <c r="G91" s="4">
        <f t="shared" si="9"/>
        <v>42.563455470159681</v>
      </c>
      <c r="H91" s="4">
        <f t="shared" si="10"/>
        <v>44.930715894243491</v>
      </c>
      <c r="I91" s="6">
        <f t="shared" si="12"/>
        <v>5.5617204898776196E-2</v>
      </c>
      <c r="J91" s="22" cm="1">
        <f t="array" ref="J91">D_one($D$1,$D$2,$D$5,$D$3,$D$3,F91)</f>
        <v>0.5616339486780435</v>
      </c>
      <c r="K91" s="23">
        <f t="shared" si="4"/>
        <v>0.71281727735079836</v>
      </c>
      <c r="L91" s="24">
        <f t="shared" si="11"/>
        <v>-0.56163394867804373</v>
      </c>
      <c r="M91" s="23">
        <f t="shared" si="5"/>
        <v>0.28718272264920153</v>
      </c>
      <c r="N91" s="25" cm="1">
        <f t="array" ref="N91">GBlackScholes("c",$D$1,$D$2,$D$5,$D$3,$D$3,F91)</f>
        <v>21.281727735079841</v>
      </c>
      <c r="O91" s="4">
        <f t="shared" si="13"/>
        <v>21.281727735079841</v>
      </c>
    </row>
    <row r="92" spans="6:20" x14ac:dyDescent="0.25">
      <c r="F92" s="20">
        <f t="shared" si="15"/>
        <v>8.1999999999999869</v>
      </c>
      <c r="G92" s="4">
        <f t="shared" si="9"/>
        <v>43.035045083831349</v>
      </c>
      <c r="H92" s="4">
        <f t="shared" si="10"/>
        <v>45.485416090468718</v>
      </c>
      <c r="I92" s="6">
        <f t="shared" si="12"/>
        <v>5.6938966878368413E-2</v>
      </c>
      <c r="J92" s="22" cm="1">
        <f t="array" ref="J92">D_one($D$1,$D$2,$D$5,$D$3,$D$3,F92)</f>
        <v>0.56856770113085897</v>
      </c>
      <c r="K92" s="23">
        <f t="shared" si="4"/>
        <v>0.71517522541915679</v>
      </c>
      <c r="L92" s="24">
        <f t="shared" si="11"/>
        <v>-0.56856770113085897</v>
      </c>
      <c r="M92" s="23">
        <f t="shared" si="5"/>
        <v>0.28482477458084321</v>
      </c>
      <c r="N92" s="25" cm="1">
        <f t="array" ref="N92">GBlackScholes("c",$D$1,$D$2,$D$5,$D$3,$D$3,F92)</f>
        <v>21.517522541915675</v>
      </c>
      <c r="O92" s="4">
        <f t="shared" si="13"/>
        <v>21.517522541915675</v>
      </c>
    </row>
  </sheetData>
  <mergeCells count="1">
    <mergeCell ref="BJ33:BZ33"/>
  </mergeCells>
  <pageMargins left="0.7" right="0.7" top="0.75" bottom="0.75" header="0.3" footer="0.3"/>
  <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463ADB-D06F-4D78-AD4A-C4003C1432D4}">
  <sheetPr codeName="Sheet1"/>
  <dimension ref="A2:AV49"/>
  <sheetViews>
    <sheetView showGridLines="0" workbookViewId="0">
      <selection activeCell="L35" sqref="L35"/>
    </sheetView>
  </sheetViews>
  <sheetFormatPr defaultRowHeight="15" x14ac:dyDescent="0.25"/>
  <cols>
    <col min="1" max="1" width="9.140625" style="1"/>
    <col min="2" max="2" width="18" style="1" bestFit="1" customWidth="1"/>
    <col min="3" max="3" width="4.85546875" style="1" bestFit="1" customWidth="1"/>
    <col min="4" max="4" width="14.85546875" style="1" customWidth="1"/>
    <col min="5" max="5" width="7.140625" style="1" bestFit="1" customWidth="1"/>
    <col min="6" max="6" width="12" style="1" bestFit="1" customWidth="1"/>
    <col min="7" max="7" width="9.140625" style="1" bestFit="1" customWidth="1"/>
    <col min="8" max="8" width="5.5703125" style="1" bestFit="1" customWidth="1"/>
    <col min="9" max="9" width="9.140625" style="1"/>
    <col min="10" max="10" width="9.7109375" style="1" bestFit="1" customWidth="1"/>
    <col min="11" max="11" width="9.140625" style="1"/>
    <col min="12" max="12" width="10.5703125" style="1" bestFit="1" customWidth="1"/>
    <col min="13" max="16384" width="9.140625" style="1"/>
  </cols>
  <sheetData>
    <row r="2" spans="1:48" x14ac:dyDescent="0.25">
      <c r="G2" s="74"/>
      <c r="I2" s="1" t="s">
        <v>40</v>
      </c>
      <c r="J2" s="90">
        <v>45464</v>
      </c>
    </row>
    <row r="3" spans="1:48" x14ac:dyDescent="0.25">
      <c r="I3" s="1" t="s">
        <v>0</v>
      </c>
      <c r="J3" s="91">
        <v>20</v>
      </c>
    </row>
    <row r="4" spans="1:48" x14ac:dyDescent="0.25">
      <c r="I4" s="1" t="s">
        <v>106</v>
      </c>
      <c r="J4" s="92">
        <v>0.04</v>
      </c>
    </row>
    <row r="5" spans="1:48" x14ac:dyDescent="0.25">
      <c r="G5" s="89" t="s">
        <v>107</v>
      </c>
    </row>
    <row r="6" spans="1:48" x14ac:dyDescent="0.25">
      <c r="B6" s="89" t="s">
        <v>105</v>
      </c>
      <c r="C6" s="89" t="s">
        <v>51</v>
      </c>
      <c r="D6" s="89" t="s">
        <v>52</v>
      </c>
      <c r="E6" s="89" t="s">
        <v>53</v>
      </c>
      <c r="F6" s="89" t="s">
        <v>54</v>
      </c>
      <c r="G6" s="89" t="s">
        <v>56</v>
      </c>
      <c r="H6" s="89" t="s">
        <v>55</v>
      </c>
      <c r="I6" s="89" t="s">
        <v>56</v>
      </c>
      <c r="J6" s="89" t="s">
        <v>20</v>
      </c>
      <c r="K6" s="89" t="s">
        <v>7</v>
      </c>
      <c r="AJ6" s="89" t="s">
        <v>108</v>
      </c>
      <c r="AK6" s="89" t="s">
        <v>109</v>
      </c>
    </row>
    <row r="7" spans="1:48" x14ac:dyDescent="0.25">
      <c r="B7" s="75">
        <v>45443</v>
      </c>
      <c r="C7" s="1" t="s">
        <v>57</v>
      </c>
      <c r="D7" s="76">
        <v>23.24</v>
      </c>
      <c r="E7" s="77">
        <v>-0.14000000000000001</v>
      </c>
      <c r="F7" s="1" t="s">
        <v>58</v>
      </c>
      <c r="G7" s="76">
        <v>5.6</v>
      </c>
      <c r="H7" s="78">
        <v>5000</v>
      </c>
      <c r="I7" s="1" t="s">
        <v>59</v>
      </c>
      <c r="J7" s="1">
        <f t="shared" ref="J7:J32" si="0">$J$2-B7</f>
        <v>21</v>
      </c>
      <c r="K7" s="93" cm="1">
        <f t="array" ref="K7">ImpliedVolatility_kris("c",D7,$J$3,J7/365,$J$4,$J$4,G7,0.01)</f>
        <v>1.8222474289352175</v>
      </c>
      <c r="AJ7" s="76" cm="1">
        <f t="array" ref="AJ7">GBlackScholes("c",D7,$J$3,J7/365,$J$4,$J$4,AK7)</f>
        <v>5.5957836209652916</v>
      </c>
      <c r="AK7" s="96">
        <v>1.82</v>
      </c>
      <c r="AL7" s="1" t="str">
        <f t="shared" ref="AL7:AL32" si="1">IF(AJ7-G7&gt;0.01,"lower",IF(AJ7-G7&lt;-0.01,"higher","ok"))</f>
        <v>ok</v>
      </c>
    </row>
    <row r="8" spans="1:48" s="85" customFormat="1" x14ac:dyDescent="0.25">
      <c r="A8" s="1"/>
      <c r="B8" s="84">
        <v>45442</v>
      </c>
      <c r="C8" s="85" t="s">
        <v>57</v>
      </c>
      <c r="D8" s="86">
        <v>22.59</v>
      </c>
      <c r="E8" s="87">
        <v>-0.11</v>
      </c>
      <c r="F8" s="85" t="s">
        <v>60</v>
      </c>
      <c r="G8" s="86">
        <v>5.2</v>
      </c>
      <c r="H8" s="88">
        <v>5000</v>
      </c>
      <c r="I8" s="85" t="s">
        <v>61</v>
      </c>
      <c r="J8" s="85">
        <f t="shared" si="0"/>
        <v>22</v>
      </c>
      <c r="K8" s="94" cm="1">
        <f t="array" ref="K8">ImpliedVolatility_kris("c",D8,$J$3,J8/365,$J$4,$J$4,G8,0.01)</f>
        <v>1.8063017893650419</v>
      </c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76" cm="1">
        <f t="array" ref="AJ8">GBlackScholes("c",D8,$J$3,J8/365,$J$4,$J$4,AK8)</f>
        <v>5.2016461539743561</v>
      </c>
      <c r="AK8" s="96">
        <v>1.81</v>
      </c>
      <c r="AL8" s="1" t="str">
        <f t="shared" si="1"/>
        <v>ok</v>
      </c>
      <c r="AM8" s="1"/>
      <c r="AN8" s="1"/>
      <c r="AO8" s="1"/>
      <c r="AP8" s="1"/>
      <c r="AQ8" s="1"/>
      <c r="AR8" s="1"/>
      <c r="AS8" s="1"/>
      <c r="AT8" s="1"/>
      <c r="AU8" s="1"/>
      <c r="AV8" s="1"/>
    </row>
    <row r="9" spans="1:48" s="85" customFormat="1" x14ac:dyDescent="0.25">
      <c r="A9" s="1"/>
      <c r="B9" s="84">
        <v>45441</v>
      </c>
      <c r="C9" s="85" t="s">
        <v>62</v>
      </c>
      <c r="D9" s="86">
        <v>22.2</v>
      </c>
      <c r="E9" s="87">
        <v>-0.1</v>
      </c>
      <c r="F9" s="85" t="s">
        <v>63</v>
      </c>
      <c r="G9" s="86">
        <v>5.5</v>
      </c>
      <c r="H9" s="88">
        <v>5000</v>
      </c>
      <c r="I9" s="85" t="s">
        <v>64</v>
      </c>
      <c r="J9" s="85">
        <f t="shared" si="0"/>
        <v>23</v>
      </c>
      <c r="K9" s="94" cm="1">
        <f t="array" ref="K9">ImpliedVolatility_kris("c",D9,$J$3,J9/365,$J$4,$J$4,G9,0.01)</f>
        <v>2.0489727163254523</v>
      </c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76" cm="1">
        <f t="array" ref="AJ9">GBlackScholes("c",D9,$J$3,J9/365,$J$4,$J$4,AK9)</f>
        <v>5.4943420016312139</v>
      </c>
      <c r="AK9" s="96">
        <v>2.0499999999999998</v>
      </c>
      <c r="AL9" s="1" t="str">
        <f t="shared" si="1"/>
        <v>ok</v>
      </c>
      <c r="AM9" s="1"/>
      <c r="AN9" s="1"/>
      <c r="AO9" s="1"/>
      <c r="AP9" s="1"/>
      <c r="AQ9" s="1"/>
      <c r="AR9" s="1"/>
      <c r="AS9" s="1"/>
      <c r="AT9" s="1"/>
      <c r="AU9" s="1"/>
      <c r="AV9" s="1"/>
    </row>
    <row r="10" spans="1:48" s="80" customFormat="1" x14ac:dyDescent="0.25">
      <c r="A10" s="1"/>
      <c r="B10" s="79">
        <v>45440</v>
      </c>
      <c r="C10" s="80" t="s">
        <v>57</v>
      </c>
      <c r="D10" s="81">
        <v>23.34</v>
      </c>
      <c r="E10" s="82">
        <v>-0.14000000000000001</v>
      </c>
      <c r="F10" s="80" t="s">
        <v>65</v>
      </c>
      <c r="G10" s="81">
        <v>6.5</v>
      </c>
      <c r="H10" s="83">
        <v>5000</v>
      </c>
      <c r="I10" s="80" t="s">
        <v>66</v>
      </c>
      <c r="J10" s="80">
        <f t="shared" si="0"/>
        <v>24</v>
      </c>
      <c r="K10" s="95" cm="1">
        <f t="array" ref="K10">ImpliedVolatility_kris("c",D10,$J$3,J10/365,$J$4,$J$4,G10,0.01)</f>
        <v>2.1102391626418822</v>
      </c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76" cm="1">
        <f t="array" ref="AJ10">GBlackScholes("c",D10,$J$3,J10/365,$J$4,$J$4,AK10)</f>
        <v>6.4996723427291014</v>
      </c>
      <c r="AK10" s="96">
        <v>2.11</v>
      </c>
      <c r="AL10" s="1" t="str">
        <f t="shared" si="1"/>
        <v>ok</v>
      </c>
      <c r="AM10" s="1"/>
      <c r="AN10" s="1"/>
      <c r="AO10" s="1"/>
      <c r="AP10" s="1"/>
      <c r="AQ10" s="1"/>
      <c r="AR10" s="1"/>
      <c r="AS10" s="1"/>
      <c r="AT10" s="1"/>
      <c r="AU10" s="1"/>
      <c r="AV10" s="1"/>
    </row>
    <row r="11" spans="1:48" x14ac:dyDescent="0.25">
      <c r="B11" s="75">
        <v>45440</v>
      </c>
      <c r="C11" s="1" t="s">
        <v>57</v>
      </c>
      <c r="D11" s="76">
        <v>25.47</v>
      </c>
      <c r="E11" s="77">
        <v>-0.21</v>
      </c>
      <c r="F11" s="1" t="s">
        <v>67</v>
      </c>
      <c r="G11" s="76">
        <v>8.25</v>
      </c>
      <c r="H11" s="78">
        <v>5000</v>
      </c>
      <c r="I11" s="1" t="s">
        <v>68</v>
      </c>
      <c r="J11" s="1">
        <f t="shared" si="0"/>
        <v>24</v>
      </c>
      <c r="K11" s="93" cm="1">
        <f t="array" ref="K11">ImpliedVolatility_kris("c",D11,$J$3,J11/365,$J$4,$J$4,G11,0.01)</f>
        <v>2.2003049316320542</v>
      </c>
      <c r="AJ11" s="76" cm="1">
        <f t="array" ref="AJ11">GBlackScholes("c",D11,$J$3,J11/365,$J$4,$J$4,AK11)</f>
        <v>8.2560807878814408</v>
      </c>
      <c r="AK11" s="96">
        <v>2.2000000000000002</v>
      </c>
      <c r="AL11" s="1" t="str">
        <f t="shared" si="1"/>
        <v>ok</v>
      </c>
    </row>
    <row r="12" spans="1:48" s="80" customFormat="1" x14ac:dyDescent="0.25">
      <c r="A12" s="1"/>
      <c r="B12" s="79">
        <v>45436</v>
      </c>
      <c r="C12" s="80" t="s">
        <v>69</v>
      </c>
      <c r="D12" s="81">
        <v>18.18</v>
      </c>
      <c r="E12" s="82">
        <v>0.1</v>
      </c>
      <c r="F12" s="80" t="s">
        <v>70</v>
      </c>
      <c r="G12" s="81">
        <v>3.5</v>
      </c>
      <c r="H12" s="83">
        <v>5000</v>
      </c>
      <c r="I12" s="80" t="s">
        <v>71</v>
      </c>
      <c r="J12" s="80">
        <f t="shared" si="0"/>
        <v>28</v>
      </c>
      <c r="K12" s="95" cm="1">
        <f t="array" ref="K12">ImpliedVolatility_kris("c",D12,$J$3,J12/365,$J$4,$J$4,G12,0.01)</f>
        <v>2.0804325500236569</v>
      </c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76" cm="1">
        <f t="array" ref="AJ12">GBlackScholes("c",D12,$J$3,J12/365,$J$4,$J$4,AK12)</f>
        <v>3.4950366681731553</v>
      </c>
      <c r="AK12" s="96">
        <v>2.08</v>
      </c>
      <c r="AL12" s="1" t="str">
        <f t="shared" si="1"/>
        <v>ok</v>
      </c>
      <c r="AM12" s="1"/>
      <c r="AN12" s="1"/>
      <c r="AO12" s="1"/>
      <c r="AP12" s="1"/>
      <c r="AQ12" s="1"/>
      <c r="AR12" s="1"/>
      <c r="AS12" s="1"/>
      <c r="AT12" s="1"/>
      <c r="AU12" s="1"/>
      <c r="AV12" s="1"/>
    </row>
    <row r="13" spans="1:48" x14ac:dyDescent="0.25">
      <c r="B13" s="75">
        <v>45436</v>
      </c>
      <c r="C13" s="1" t="s">
        <v>57</v>
      </c>
      <c r="D13" s="76">
        <v>18.260000000000002</v>
      </c>
      <c r="E13" s="77">
        <v>0.1</v>
      </c>
      <c r="F13" s="1" t="s">
        <v>72</v>
      </c>
      <c r="G13" s="76">
        <v>3.35</v>
      </c>
      <c r="H13" s="78">
        <v>5000</v>
      </c>
      <c r="I13" s="1" t="s">
        <v>73</v>
      </c>
      <c r="J13" s="1">
        <f t="shared" si="0"/>
        <v>28</v>
      </c>
      <c r="K13" s="93" cm="1">
        <f t="array" ref="K13">ImpliedVolatility_kris("c",D13,$J$3,J13/365,$J$4,$J$4,G13,0.01)</f>
        <v>1.9840170499357019</v>
      </c>
      <c r="AJ13" s="76" cm="1">
        <f t="array" ref="AJ13">GBlackScholes("c",D13,$J$3,J13/365,$J$4,$J$4,AK13)</f>
        <v>3.3590691240479256</v>
      </c>
      <c r="AK13" s="96">
        <v>1.99</v>
      </c>
      <c r="AL13" s="1" t="str">
        <f t="shared" si="1"/>
        <v>ok</v>
      </c>
    </row>
    <row r="14" spans="1:48" s="80" customFormat="1" x14ac:dyDescent="0.25">
      <c r="A14" s="1"/>
      <c r="B14" s="79">
        <v>45434</v>
      </c>
      <c r="C14" s="80" t="s">
        <v>57</v>
      </c>
      <c r="D14" s="81">
        <v>21.62</v>
      </c>
      <c r="E14" s="82">
        <v>-7.0000000000000007E-2</v>
      </c>
      <c r="F14" s="80" t="s">
        <v>74</v>
      </c>
      <c r="G14" s="81">
        <v>6.75</v>
      </c>
      <c r="H14" s="83">
        <v>5000</v>
      </c>
      <c r="I14" s="80" t="s">
        <v>75</v>
      </c>
      <c r="J14" s="80">
        <f t="shared" si="0"/>
        <v>30</v>
      </c>
      <c r="K14" s="95" cm="1">
        <f t="array" ref="K14">ImpliedVolatility_kris("c",D14,$J$3,J14/365,$J$4,$J$4,G14,0.01)</f>
        <v>2.5229261885786181</v>
      </c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76" cm="1">
        <f t="array" ref="AJ14">GBlackScholes("c",D14,$J$3,J14/365,$J$4,$J$4,AK14)</f>
        <v>6.7609545684210737</v>
      </c>
      <c r="AK14" s="96">
        <v>2.5299999999999998</v>
      </c>
      <c r="AL14" s="1" t="str">
        <f t="shared" si="1"/>
        <v>lower</v>
      </c>
      <c r="AM14" s="1"/>
      <c r="AN14" s="1"/>
      <c r="AO14" s="1"/>
      <c r="AP14" s="1"/>
      <c r="AQ14" s="1"/>
      <c r="AR14" s="1"/>
      <c r="AS14" s="1"/>
      <c r="AT14" s="1"/>
      <c r="AU14" s="1"/>
      <c r="AV14" s="1"/>
    </row>
    <row r="15" spans="1:48" x14ac:dyDescent="0.25">
      <c r="B15" s="75">
        <v>45434</v>
      </c>
      <c r="C15" s="1" t="s">
        <v>62</v>
      </c>
      <c r="D15" s="76">
        <v>22.01</v>
      </c>
      <c r="E15" s="77">
        <v>-0.09</v>
      </c>
      <c r="F15" s="1" t="s">
        <v>76</v>
      </c>
      <c r="G15" s="76">
        <v>7.25</v>
      </c>
      <c r="H15" s="78">
        <v>1462</v>
      </c>
      <c r="I15" s="1" t="s">
        <v>77</v>
      </c>
      <c r="J15" s="1">
        <f t="shared" si="0"/>
        <v>30</v>
      </c>
      <c r="K15" s="93" cm="1">
        <f t="array" ref="K15">ImpliedVolatility_kris("c",D15,$J$3,J15/365,$J$4,$J$4,G15,0.01)</f>
        <v>2.6297647130563324</v>
      </c>
      <c r="AJ15" s="76" cm="1">
        <f t="array" ref="AJ15">GBlackScholes("c",D15,$J$3,J15/365,$J$4,$J$4,AK15)</f>
        <v>7.2505599322010363</v>
      </c>
      <c r="AK15" s="96">
        <v>2.63</v>
      </c>
      <c r="AL15" s="1" t="str">
        <f t="shared" si="1"/>
        <v>ok</v>
      </c>
    </row>
    <row r="16" spans="1:48" x14ac:dyDescent="0.25">
      <c r="B16" s="75">
        <v>45434</v>
      </c>
      <c r="C16" s="1" t="s">
        <v>57</v>
      </c>
      <c r="D16" s="76">
        <v>21.91</v>
      </c>
      <c r="E16" s="77">
        <v>-0.09</v>
      </c>
      <c r="F16" s="1" t="s">
        <v>78</v>
      </c>
      <c r="G16" s="76">
        <v>7.05</v>
      </c>
      <c r="H16" s="78">
        <v>5000</v>
      </c>
      <c r="I16" s="1" t="s">
        <v>79</v>
      </c>
      <c r="J16" s="1">
        <f t="shared" si="0"/>
        <v>30</v>
      </c>
      <c r="K16" s="93" cm="1">
        <f t="array" ref="K16">ImpliedVolatility_kris("c",D16,$J$3,J16/365,$J$4,$J$4,G16,0.01)</f>
        <v>2.5664123126095104</v>
      </c>
      <c r="AJ16" s="76" cm="1">
        <f t="array" ref="AJ16">GBlackScholes("c",D16,$J$3,J16/365,$J$4,$J$4,AK16)</f>
        <v>7.0485034166380265</v>
      </c>
      <c r="AK16" s="96">
        <v>2.57</v>
      </c>
      <c r="AL16" s="1" t="str">
        <f t="shared" si="1"/>
        <v>ok</v>
      </c>
    </row>
    <row r="17" spans="1:48" x14ac:dyDescent="0.25">
      <c r="B17" s="75">
        <v>45434</v>
      </c>
      <c r="C17" s="1" t="s">
        <v>57</v>
      </c>
      <c r="D17" s="76">
        <v>22.02</v>
      </c>
      <c r="E17" s="77">
        <v>-0.09</v>
      </c>
      <c r="F17" s="1" t="s">
        <v>80</v>
      </c>
      <c r="G17" s="76">
        <v>6.7</v>
      </c>
      <c r="H17" s="78">
        <v>5000</v>
      </c>
      <c r="I17" s="1" t="s">
        <v>81</v>
      </c>
      <c r="J17" s="1">
        <f t="shared" si="0"/>
        <v>30</v>
      </c>
      <c r="K17" s="93" cm="1">
        <f t="array" ref="K17">ImpliedVolatility_kris("c",D17,$J$3,J17/365,$J$4,$J$4,G17,0.01)</f>
        <v>2.3753054841098145</v>
      </c>
      <c r="AJ17" s="76" cm="1">
        <f t="array" ref="AJ17">GBlackScholes("c",D17,$J$3,J17/365,$J$4,$J$4,AK17)</f>
        <v>6.7012486455535427</v>
      </c>
      <c r="AK17" s="96">
        <v>2.38</v>
      </c>
      <c r="AL17" s="1" t="str">
        <f t="shared" si="1"/>
        <v>ok</v>
      </c>
    </row>
    <row r="18" spans="1:48" x14ac:dyDescent="0.25">
      <c r="B18" s="75">
        <v>45434</v>
      </c>
      <c r="C18" s="1" t="s">
        <v>57</v>
      </c>
      <c r="D18" s="76">
        <v>21.63</v>
      </c>
      <c r="E18" s="77">
        <v>-0.08</v>
      </c>
      <c r="F18" s="1" t="s">
        <v>82</v>
      </c>
      <c r="G18" s="76">
        <v>6.25</v>
      </c>
      <c r="H18" s="78">
        <v>5000</v>
      </c>
      <c r="I18" s="1" t="s">
        <v>83</v>
      </c>
      <c r="J18" s="1">
        <f t="shared" si="0"/>
        <v>30</v>
      </c>
      <c r="K18" s="93" cm="1">
        <f t="array" ref="K18">ImpliedVolatility_kris("c",D18,$J$3,J18/365,$J$4,$J$4,G18,0.01)</f>
        <v>2.2952380404739259</v>
      </c>
      <c r="AJ18" s="76" cm="1">
        <f t="array" ref="AJ18">GBlackScholes("c",D18,$J$3,J18/365,$J$4,$J$4,AK18)</f>
        <v>6.2569051049807936</v>
      </c>
      <c r="AK18" s="96">
        <v>2.2999999999999998</v>
      </c>
      <c r="AL18" s="1" t="str">
        <f t="shared" si="1"/>
        <v>ok</v>
      </c>
    </row>
    <row r="19" spans="1:48" x14ac:dyDescent="0.25">
      <c r="B19" s="75">
        <v>45434</v>
      </c>
      <c r="C19" s="1" t="s">
        <v>57</v>
      </c>
      <c r="D19" s="76">
        <v>21.83</v>
      </c>
      <c r="E19" s="77">
        <v>-0.08</v>
      </c>
      <c r="F19" s="1" t="s">
        <v>84</v>
      </c>
      <c r="G19" s="76">
        <v>6.2</v>
      </c>
      <c r="H19" s="78">
        <v>5000</v>
      </c>
      <c r="I19" s="1" t="s">
        <v>85</v>
      </c>
      <c r="J19" s="1">
        <f t="shared" si="0"/>
        <v>30</v>
      </c>
      <c r="K19" s="93" cm="1">
        <f t="array" ref="K19">ImpliedVolatility_kris("c",D19,$J$3,J19/365,$J$4,$J$4,G19,0.01)</f>
        <v>2.2119392042585124</v>
      </c>
      <c r="AJ19" s="76" cm="1">
        <f t="array" ref="AJ19">GBlackScholes("c",D19,$J$3,J19/365,$J$4,$J$4,AK19)</f>
        <v>6.1905918707728649</v>
      </c>
      <c r="AK19" s="96">
        <v>2.21</v>
      </c>
      <c r="AL19" s="1" t="str">
        <f t="shared" si="1"/>
        <v>ok</v>
      </c>
    </row>
    <row r="20" spans="1:48" x14ac:dyDescent="0.25">
      <c r="B20" s="75">
        <v>45434</v>
      </c>
      <c r="C20" s="1" t="s">
        <v>57</v>
      </c>
      <c r="D20" s="76">
        <v>21.19</v>
      </c>
      <c r="E20" s="77">
        <v>-0.06</v>
      </c>
      <c r="F20" s="1" t="s">
        <v>86</v>
      </c>
      <c r="G20" s="76">
        <v>5.8</v>
      </c>
      <c r="H20" s="78">
        <v>5000</v>
      </c>
      <c r="I20" s="1" t="s">
        <v>87</v>
      </c>
      <c r="J20" s="1">
        <f t="shared" si="0"/>
        <v>30</v>
      </c>
      <c r="K20" s="93" cm="1">
        <f t="array" ref="K20">ImpliedVolatility_kris("c",D20,$J$3,J20/365,$J$4,$J$4,G20,0.01)</f>
        <v>2.2263230477248279</v>
      </c>
      <c r="AJ20" s="76" cm="1">
        <f t="array" ref="AJ20">GBlackScholes("c",D20,$J$3,J20/365,$J$4,$J$4,AK20)</f>
        <v>5.8070092199291716</v>
      </c>
      <c r="AK20" s="96">
        <v>2.23</v>
      </c>
      <c r="AL20" s="1" t="str">
        <f t="shared" si="1"/>
        <v>ok</v>
      </c>
    </row>
    <row r="21" spans="1:48" x14ac:dyDescent="0.25">
      <c r="B21" s="75">
        <v>45434</v>
      </c>
      <c r="C21" s="1" t="s">
        <v>57</v>
      </c>
      <c r="D21" s="76">
        <v>21.31</v>
      </c>
      <c r="E21" s="77">
        <v>-0.06</v>
      </c>
      <c r="F21" s="1" t="s">
        <v>88</v>
      </c>
      <c r="G21" s="76">
        <v>5.85</v>
      </c>
      <c r="H21" s="78">
        <v>5000</v>
      </c>
      <c r="I21" s="1" t="s">
        <v>89</v>
      </c>
      <c r="J21" s="1">
        <f t="shared" si="0"/>
        <v>30</v>
      </c>
      <c r="K21" s="93" cm="1">
        <f t="array" ref="K21">ImpliedVolatility_kris("c",D21,$J$3,J21/365,$J$4,$J$4,G21,0.01)</f>
        <v>2.2128950532056959</v>
      </c>
      <c r="AJ21" s="76" cm="1">
        <f t="array" ref="AJ21">GBlackScholes("c",D21,$J$3,J21/365,$J$4,$J$4,AK21)</f>
        <v>5.8419509438629325</v>
      </c>
      <c r="AK21" s="96">
        <v>2.21</v>
      </c>
      <c r="AL21" s="1" t="str">
        <f t="shared" si="1"/>
        <v>ok</v>
      </c>
    </row>
    <row r="22" spans="1:48" x14ac:dyDescent="0.25">
      <c r="B22" s="75">
        <v>45434</v>
      </c>
      <c r="C22" s="1" t="s">
        <v>57</v>
      </c>
      <c r="D22" s="76">
        <v>21.03</v>
      </c>
      <c r="E22" s="77">
        <v>-0.05</v>
      </c>
      <c r="F22" s="1" t="s">
        <v>90</v>
      </c>
      <c r="G22" s="76">
        <v>5.5</v>
      </c>
      <c r="H22" s="78">
        <v>5000</v>
      </c>
      <c r="I22" s="1" t="s">
        <v>64</v>
      </c>
      <c r="J22" s="1">
        <f t="shared" si="0"/>
        <v>30</v>
      </c>
      <c r="K22" s="93" cm="1">
        <f t="array" ref="K22">ImpliedVolatility_kris("c",D22,$J$3,J22/365,$J$4,$J$4,G22,0.01)</f>
        <v>2.1389514813055022</v>
      </c>
      <c r="AJ22" s="76" cm="1">
        <f t="array" ref="AJ22">GBlackScholes("c",D22,$J$3,J22/365,$J$4,$J$4,AK22)</f>
        <v>5.5016566746200031</v>
      </c>
      <c r="AK22" s="96">
        <v>2.14</v>
      </c>
      <c r="AL22" s="1" t="str">
        <f t="shared" si="1"/>
        <v>ok</v>
      </c>
    </row>
    <row r="23" spans="1:48" x14ac:dyDescent="0.25">
      <c r="B23" s="75">
        <v>45434</v>
      </c>
      <c r="C23" s="1" t="s">
        <v>69</v>
      </c>
      <c r="D23" s="76">
        <v>20.98</v>
      </c>
      <c r="E23" s="77">
        <v>-0.05</v>
      </c>
      <c r="F23" s="1" t="s">
        <v>91</v>
      </c>
      <c r="G23" s="76">
        <v>5</v>
      </c>
      <c r="H23" s="78">
        <v>5000</v>
      </c>
      <c r="I23" s="1" t="s">
        <v>92</v>
      </c>
      <c r="J23" s="1">
        <f t="shared" si="0"/>
        <v>30</v>
      </c>
      <c r="K23" s="93" cm="1">
        <f t="array" ref="K23">ImpliedVolatility_kris("c",D23,$J$3,J23/365,$J$4,$J$4,G23,0.01)</f>
        <v>1.9297186117629004</v>
      </c>
      <c r="AJ23" s="76" cm="1">
        <f t="array" ref="AJ23">GBlackScholes("c",D23,$J$3,J23/365,$J$4,$J$4,AK23)</f>
        <v>5.0001302812115735</v>
      </c>
      <c r="AK23" s="96">
        <v>1.93</v>
      </c>
      <c r="AL23" s="1" t="str">
        <f t="shared" si="1"/>
        <v>ok</v>
      </c>
    </row>
    <row r="24" spans="1:48" x14ac:dyDescent="0.25">
      <c r="B24" s="75">
        <v>45434</v>
      </c>
      <c r="C24" s="1" t="s">
        <v>62</v>
      </c>
      <c r="D24" s="76">
        <v>21.05</v>
      </c>
      <c r="E24" s="77">
        <v>-0.05</v>
      </c>
      <c r="F24" s="1" t="s">
        <v>93</v>
      </c>
      <c r="G24" s="76">
        <v>5</v>
      </c>
      <c r="H24" s="78">
        <v>5000</v>
      </c>
      <c r="I24" s="1" t="s">
        <v>92</v>
      </c>
      <c r="J24" s="1">
        <f t="shared" si="0"/>
        <v>30</v>
      </c>
      <c r="K24" s="93" cm="1">
        <f t="array" ref="K24">ImpliedVolatility_kris("c",D24,$J$3,J24/365,$J$4,$J$4,G24,0.01)</f>
        <v>1.9095581941926265</v>
      </c>
      <c r="AJ24" s="76" cm="1">
        <f t="array" ref="AJ24">GBlackScholes("c",D24,$J$3,J24/365,$J$4,$J$4,AK24)</f>
        <v>5.0003897662307457</v>
      </c>
      <c r="AK24" s="96">
        <v>1.91</v>
      </c>
      <c r="AL24" s="1" t="str">
        <f t="shared" si="1"/>
        <v>ok</v>
      </c>
    </row>
    <row r="25" spans="1:48" x14ac:dyDescent="0.25">
      <c r="B25" s="75">
        <v>45434</v>
      </c>
      <c r="C25" s="1" t="s">
        <v>57</v>
      </c>
      <c r="D25" s="76">
        <v>21.08</v>
      </c>
      <c r="E25" s="77">
        <v>-0.05</v>
      </c>
      <c r="F25" s="1" t="s">
        <v>94</v>
      </c>
      <c r="G25" s="76">
        <v>5</v>
      </c>
      <c r="H25" s="78">
        <v>5000</v>
      </c>
      <c r="I25" s="1" t="s">
        <v>92</v>
      </c>
      <c r="J25" s="1">
        <f t="shared" si="0"/>
        <v>30</v>
      </c>
      <c r="K25" s="93" cm="1">
        <f t="array" ref="K25">ImpliedVolatility_kris("c",D25,$J$3,J25/365,$J$4,$J$4,G25,0.01)</f>
        <v>1.900912935518426</v>
      </c>
      <c r="AJ25" s="76" cm="1">
        <f t="array" ref="AJ25">GBlackScholes("c",D25,$J$3,J25/365,$J$4,$J$4,AK25)</f>
        <v>4.9973001400806787</v>
      </c>
      <c r="AK25" s="96">
        <v>1.9</v>
      </c>
      <c r="AL25" s="1" t="str">
        <f t="shared" si="1"/>
        <v>ok</v>
      </c>
    </row>
    <row r="26" spans="1:48" x14ac:dyDescent="0.25">
      <c r="B26" s="75">
        <v>45434</v>
      </c>
      <c r="C26" s="1" t="s">
        <v>57</v>
      </c>
      <c r="D26" s="76">
        <v>21.04</v>
      </c>
      <c r="E26" s="77">
        <v>-0.05</v>
      </c>
      <c r="F26" s="1" t="s">
        <v>94</v>
      </c>
      <c r="G26" s="76">
        <v>5</v>
      </c>
      <c r="H26" s="78">
        <v>5000</v>
      </c>
      <c r="I26" s="1" t="s">
        <v>92</v>
      </c>
      <c r="J26" s="1">
        <f t="shared" si="0"/>
        <v>30</v>
      </c>
      <c r="K26" s="93" cm="1">
        <f t="array" ref="K26">ImpliedVolatility_kris("c",D26,$J$3,J26/365,$J$4,$J$4,G26,0.01)</f>
        <v>1.9124392398610826</v>
      </c>
      <c r="AJ26" s="76" cm="1">
        <f t="array" ref="AJ26">GBlackScholes("c",D26,$J$3,J26/365,$J$4,$J$4,AK26)</f>
        <v>4.99393623585597</v>
      </c>
      <c r="AK26" s="96">
        <v>1.91</v>
      </c>
      <c r="AL26" s="1" t="str">
        <f t="shared" si="1"/>
        <v>ok</v>
      </c>
    </row>
    <row r="27" spans="1:48" s="80" customFormat="1" x14ac:dyDescent="0.25">
      <c r="A27" s="1"/>
      <c r="B27" s="79">
        <v>45433</v>
      </c>
      <c r="C27" s="80" t="s">
        <v>57</v>
      </c>
      <c r="D27" s="81">
        <v>22.28</v>
      </c>
      <c r="E27" s="82">
        <v>-0.1</v>
      </c>
      <c r="F27" s="80" t="s">
        <v>95</v>
      </c>
      <c r="G27" s="81">
        <v>5.75</v>
      </c>
      <c r="H27" s="83">
        <v>5000</v>
      </c>
      <c r="I27" s="80" t="s">
        <v>96</v>
      </c>
      <c r="J27" s="80">
        <f t="shared" si="0"/>
        <v>31</v>
      </c>
      <c r="K27" s="95" cm="1">
        <f t="array" ref="K27">ImpliedVolatility_kris("c",D27,$J$3,J27/365,$J$4,$J$4,G27,0.01)</f>
        <v>1.8467933702128123</v>
      </c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76" cm="1">
        <f t="array" ref="AJ27">GBlackScholes("c",D27,$J$3,J27/365,$J$4,$J$4,AK27)</f>
        <v>5.7521139537433434</v>
      </c>
      <c r="AK27" s="96">
        <v>1.85</v>
      </c>
      <c r="AL27" s="1" t="str">
        <f t="shared" si="1"/>
        <v>ok</v>
      </c>
      <c r="AM27" s="1"/>
      <c r="AN27" s="1"/>
      <c r="AO27" s="1"/>
      <c r="AP27" s="1"/>
      <c r="AQ27" s="1"/>
      <c r="AR27" s="1"/>
      <c r="AS27" s="1"/>
      <c r="AT27" s="1"/>
      <c r="AU27" s="1"/>
      <c r="AV27" s="1"/>
    </row>
    <row r="28" spans="1:48" x14ac:dyDescent="0.25">
      <c r="B28" s="75">
        <v>45433</v>
      </c>
      <c r="C28" s="1" t="s">
        <v>57</v>
      </c>
      <c r="D28" s="76">
        <v>21.7</v>
      </c>
      <c r="E28" s="77">
        <v>-0.08</v>
      </c>
      <c r="F28" s="1" t="s">
        <v>97</v>
      </c>
      <c r="G28" s="76">
        <v>5.5</v>
      </c>
      <c r="H28" s="78">
        <v>5000</v>
      </c>
      <c r="I28" s="1" t="s">
        <v>64</v>
      </c>
      <c r="J28" s="1">
        <f t="shared" si="0"/>
        <v>31</v>
      </c>
      <c r="K28" s="93" cm="1">
        <f t="array" ref="K28">ImpliedVolatility_kris("c",D28,$J$3,J28/365,$J$4,$J$4,G28,0.01)</f>
        <v>1.9093202070124033</v>
      </c>
      <c r="AJ28" s="76" cm="1">
        <f t="array" ref="AJ28">GBlackScholes("c",D28,$J$3,J28/365,$J$4,$J$4,AK28)</f>
        <v>5.499106200171771</v>
      </c>
      <c r="AK28" s="96">
        <v>1.91</v>
      </c>
      <c r="AL28" s="1" t="str">
        <f t="shared" si="1"/>
        <v>ok</v>
      </c>
    </row>
    <row r="29" spans="1:48" x14ac:dyDescent="0.25">
      <c r="B29" s="75">
        <v>45433</v>
      </c>
      <c r="C29" s="1" t="s">
        <v>57</v>
      </c>
      <c r="D29" s="76">
        <v>21.27</v>
      </c>
      <c r="E29" s="77">
        <v>-0.06</v>
      </c>
      <c r="F29" s="1" t="s">
        <v>98</v>
      </c>
      <c r="G29" s="76">
        <v>4.95</v>
      </c>
      <c r="H29" s="78">
        <v>5000</v>
      </c>
      <c r="I29" s="1" t="s">
        <v>99</v>
      </c>
      <c r="J29" s="1">
        <f t="shared" si="0"/>
        <v>31</v>
      </c>
      <c r="K29" s="93" cm="1">
        <f t="array" ref="K29">ImpliedVolatility_kris("c",D29,$J$3,J29/365,$J$4,$J$4,G29,0.01)</f>
        <v>1.7938722470523436</v>
      </c>
      <c r="AJ29" s="76" cm="1">
        <f t="array" ref="AJ29">GBlackScholes("c",D29,$J$3,J29/365,$J$4,$J$4,AK29)</f>
        <v>4.9402073959989368</v>
      </c>
      <c r="AK29" s="96">
        <v>1.79</v>
      </c>
      <c r="AL29" s="1" t="str">
        <f t="shared" si="1"/>
        <v>ok</v>
      </c>
    </row>
    <row r="30" spans="1:48" x14ac:dyDescent="0.25">
      <c r="B30" s="75">
        <v>45433</v>
      </c>
      <c r="C30" s="1" t="s">
        <v>62</v>
      </c>
      <c r="D30" s="76">
        <v>21.65</v>
      </c>
      <c r="E30" s="77">
        <v>-0.08</v>
      </c>
      <c r="F30" s="1" t="s">
        <v>100</v>
      </c>
      <c r="G30" s="76">
        <v>5</v>
      </c>
      <c r="H30" s="78">
        <v>5000</v>
      </c>
      <c r="I30" s="1" t="s">
        <v>92</v>
      </c>
      <c r="J30" s="1">
        <f t="shared" si="0"/>
        <v>31</v>
      </c>
      <c r="K30" s="93" cm="1">
        <f t="array" ref="K30">ImpliedVolatility_kris("c",D30,$J$3,J30/365,$J$4,$J$4,G30,0.01)</f>
        <v>1.7071487712721423</v>
      </c>
      <c r="AJ30" s="76" cm="1">
        <f t="array" ref="AJ30">GBlackScholes("c",D30,$J$3,J30/365,$J$4,$J$4,AK30)</f>
        <v>5.0050077599068512</v>
      </c>
      <c r="AK30" s="96">
        <v>1.71</v>
      </c>
      <c r="AL30" s="1" t="str">
        <f t="shared" si="1"/>
        <v>ok</v>
      </c>
    </row>
    <row r="31" spans="1:48" s="80" customFormat="1" x14ac:dyDescent="0.25">
      <c r="A31" s="1"/>
      <c r="B31" s="79">
        <v>45432</v>
      </c>
      <c r="C31" s="80" t="s">
        <v>57</v>
      </c>
      <c r="D31" s="81">
        <v>20.88</v>
      </c>
      <c r="E31" s="82">
        <v>-0.04</v>
      </c>
      <c r="F31" s="80" t="s">
        <v>101</v>
      </c>
      <c r="G31" s="81">
        <v>4.8499999999999996</v>
      </c>
      <c r="H31" s="83">
        <v>5000</v>
      </c>
      <c r="I31" s="80" t="s">
        <v>102</v>
      </c>
      <c r="J31" s="80">
        <f t="shared" si="0"/>
        <v>32</v>
      </c>
      <c r="K31" s="95" cm="1">
        <f t="array" ref="K31">ImpliedVolatility_kris("c",D31,$J$3,J31/365,$J$4,$J$4,G31,0.01)</f>
        <v>1.8306279954826479</v>
      </c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76" cm="1">
        <f t="array" ref="AJ31">GBlackScholes("c",D31,$J$3,J31/365,$J$4,$J$4,AK31)</f>
        <v>4.8482134144280788</v>
      </c>
      <c r="AK31" s="96">
        <v>1.83</v>
      </c>
      <c r="AL31" s="1" t="str">
        <f t="shared" si="1"/>
        <v>ok</v>
      </c>
      <c r="AM31" s="1"/>
      <c r="AN31" s="1"/>
      <c r="AO31" s="1"/>
      <c r="AP31" s="1"/>
      <c r="AQ31" s="1"/>
      <c r="AR31" s="1"/>
      <c r="AS31" s="1"/>
      <c r="AT31" s="1"/>
      <c r="AU31" s="1"/>
      <c r="AV31" s="1"/>
    </row>
    <row r="32" spans="1:48" x14ac:dyDescent="0.25">
      <c r="B32" s="75">
        <v>45432</v>
      </c>
      <c r="C32" s="1" t="s">
        <v>57</v>
      </c>
      <c r="D32" s="76">
        <v>20.67</v>
      </c>
      <c r="E32" s="77">
        <v>-0.03</v>
      </c>
      <c r="F32" s="1" t="s">
        <v>103</v>
      </c>
      <c r="G32" s="76">
        <v>4.5999999999999996</v>
      </c>
      <c r="H32" s="78">
        <v>5000</v>
      </c>
      <c r="I32" s="1" t="s">
        <v>104</v>
      </c>
      <c r="J32" s="1">
        <f t="shared" si="0"/>
        <v>32</v>
      </c>
      <c r="K32" s="93" cm="1">
        <f t="array" ref="K32">ImpliedVolatility_kris("c",D32,$J$3,J32/365,$J$4,$J$4,G32,0.01)</f>
        <v>1.7802556009178256</v>
      </c>
      <c r="AJ32" s="76" cm="1">
        <f t="array" ref="AJ32">GBlackScholes("c",D32,$J$3,J32/365,$J$4,$J$4,AK32)</f>
        <v>4.5992699742387817</v>
      </c>
      <c r="AK32" s="96">
        <v>1.78</v>
      </c>
      <c r="AL32" s="1" t="str">
        <f t="shared" si="1"/>
        <v>ok</v>
      </c>
    </row>
    <row r="33" spans="12:14" x14ac:dyDescent="0.25">
      <c r="N33" s="96"/>
    </row>
    <row r="39" spans="12:14" x14ac:dyDescent="0.25">
      <c r="L39" s="76"/>
    </row>
    <row r="49" spans="12:12" x14ac:dyDescent="0.25">
      <c r="L49" s="1" cm="1">
        <f t="array" ref="L49">Vega_kris(100,100,1,0,0,0.5)</f>
        <v>38.66681168028493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5E7F00-5757-4B04-9D7E-B825151F1ED6}">
  <sheetPr codeName="Sheet19"/>
  <dimension ref="G2:BV32"/>
  <sheetViews>
    <sheetView showGridLines="0" zoomScale="80" zoomScaleNormal="80" workbookViewId="0">
      <selection activeCell="N39" sqref="N39"/>
    </sheetView>
  </sheetViews>
  <sheetFormatPr defaultRowHeight="15" x14ac:dyDescent="0.25"/>
  <cols>
    <col min="1" max="2" width="9.140625" style="2"/>
    <col min="3" max="3" width="12.140625" style="2" bestFit="1" customWidth="1"/>
    <col min="4" max="5" width="9.140625" style="2"/>
    <col min="6" max="6" width="13.140625" style="2" bestFit="1" customWidth="1"/>
    <col min="7" max="7" width="12" style="2" customWidth="1"/>
    <col min="8" max="8" width="11.140625" style="2" customWidth="1"/>
    <col min="9" max="9" width="9.85546875" style="2" bestFit="1" customWidth="1"/>
    <col min="10" max="11" width="10.7109375" style="2" bestFit="1" customWidth="1"/>
    <col min="12" max="13" width="9.5703125" style="2" bestFit="1" customWidth="1"/>
    <col min="14" max="14" width="11.42578125" style="2" customWidth="1"/>
    <col min="15" max="15" width="21.5703125" style="2" bestFit="1" customWidth="1"/>
    <col min="16" max="16" width="22" style="2" bestFit="1" customWidth="1"/>
    <col min="17" max="46" width="9.140625" style="2"/>
    <col min="47" max="48" width="2.28515625" style="2" bestFit="1" customWidth="1"/>
    <col min="49" max="50" width="3.42578125" style="2" bestFit="1" customWidth="1"/>
    <col min="51" max="52" width="4.42578125" style="2" bestFit="1" customWidth="1"/>
    <col min="53" max="54" width="5.5703125" style="2" bestFit="1" customWidth="1"/>
    <col min="55" max="56" width="6.5703125" style="2" bestFit="1" customWidth="1"/>
    <col min="57" max="57" width="7.7109375" style="2" bestFit="1" customWidth="1"/>
    <col min="58" max="58" width="9.85546875" style="2" bestFit="1" customWidth="1"/>
    <col min="59" max="60" width="8.7109375" style="2" bestFit="1" customWidth="1"/>
    <col min="61" max="62" width="9.85546875" style="2" bestFit="1" customWidth="1"/>
    <col min="63" max="64" width="10.85546875" style="2" bestFit="1" customWidth="1"/>
    <col min="65" max="66" width="12" style="2" bestFit="1" customWidth="1"/>
    <col min="67" max="16384" width="9.140625" style="2"/>
  </cols>
  <sheetData>
    <row r="2" spans="7:61" x14ac:dyDescent="0.25">
      <c r="G2" s="2" t="s">
        <v>2</v>
      </c>
      <c r="H2" s="59">
        <v>31</v>
      </c>
      <c r="J2" s="3" t="s">
        <v>42</v>
      </c>
      <c r="K2" s="66" t="s">
        <v>43</v>
      </c>
      <c r="X2" s="3"/>
    </row>
    <row r="3" spans="7:61" ht="16.5" x14ac:dyDescent="0.3">
      <c r="G3" s="2" t="s">
        <v>3</v>
      </c>
      <c r="H3" s="59">
        <v>20</v>
      </c>
      <c r="J3" s="71" t="s">
        <v>44</v>
      </c>
      <c r="K3" s="67"/>
      <c r="L3" s="67"/>
      <c r="M3" s="67"/>
      <c r="N3" s="67"/>
      <c r="AU3" s="2">
        <v>3</v>
      </c>
    </row>
    <row r="4" spans="7:61" ht="16.5" x14ac:dyDescent="0.3">
      <c r="G4" s="2" t="s">
        <v>4</v>
      </c>
      <c r="H4" s="59">
        <v>0</v>
      </c>
      <c r="J4" s="71" t="s">
        <v>45</v>
      </c>
      <c r="O4" s="67"/>
      <c r="AU4" s="2">
        <v>3</v>
      </c>
      <c r="AV4" s="2">
        <f>AU3*AU4</f>
        <v>9</v>
      </c>
    </row>
    <row r="5" spans="7:61" ht="16.5" x14ac:dyDescent="0.3">
      <c r="G5" s="2" t="s">
        <v>39</v>
      </c>
      <c r="H5" s="60">
        <v>45425</v>
      </c>
      <c r="J5" s="71" t="s">
        <v>46</v>
      </c>
      <c r="K5" s="72"/>
      <c r="L5" s="72"/>
      <c r="M5" s="72"/>
      <c r="N5" s="72"/>
      <c r="AU5" s="2">
        <v>3</v>
      </c>
      <c r="AW5" s="2">
        <f>AU5*AV4</f>
        <v>27</v>
      </c>
    </row>
    <row r="6" spans="7:61" ht="16.5" x14ac:dyDescent="0.3">
      <c r="G6" s="2" t="s">
        <v>40</v>
      </c>
      <c r="H6" s="60">
        <v>45492</v>
      </c>
      <c r="J6" s="71" t="s">
        <v>47</v>
      </c>
      <c r="K6" s="72"/>
      <c r="L6" s="72"/>
      <c r="M6" s="72"/>
      <c r="N6" s="72"/>
      <c r="AU6" s="2">
        <v>3</v>
      </c>
      <c r="AX6" s="2">
        <f>AU6*AW5</f>
        <v>81</v>
      </c>
    </row>
    <row r="7" spans="7:61" ht="16.5" x14ac:dyDescent="0.3">
      <c r="G7" s="2" t="s">
        <v>6</v>
      </c>
      <c r="H7" s="61">
        <f>70/365</f>
        <v>0.19178082191780821</v>
      </c>
      <c r="J7" s="71" t="s">
        <v>48</v>
      </c>
      <c r="AU7" s="2">
        <v>3</v>
      </c>
      <c r="AY7" s="2">
        <f>AU7*AX6</f>
        <v>243</v>
      </c>
    </row>
    <row r="8" spans="7:61" ht="15" customHeight="1" x14ac:dyDescent="0.25">
      <c r="G8" s="58"/>
      <c r="H8" s="58"/>
      <c r="I8" s="58"/>
      <c r="J8" s="58" t="s">
        <v>38</v>
      </c>
      <c r="K8" s="58"/>
      <c r="L8" s="58"/>
      <c r="M8" s="58"/>
      <c r="N8" s="58"/>
      <c r="O8" s="58" t="s">
        <v>41</v>
      </c>
      <c r="V8" s="56"/>
      <c r="AU8" s="2">
        <v>3</v>
      </c>
      <c r="BA8" s="2" t="e">
        <f>AU8*#REF!</f>
        <v>#REF!</v>
      </c>
    </row>
    <row r="9" spans="7:61" x14ac:dyDescent="0.25">
      <c r="G9" s="58" t="s">
        <v>7</v>
      </c>
      <c r="H9" s="58" t="s">
        <v>8</v>
      </c>
      <c r="I9" s="58" t="s">
        <v>9</v>
      </c>
      <c r="J9" s="58" t="s">
        <v>16</v>
      </c>
      <c r="K9" s="58" t="s">
        <v>37</v>
      </c>
      <c r="L9" s="58" t="s">
        <v>11</v>
      </c>
      <c r="M9" s="58" t="s">
        <v>36</v>
      </c>
      <c r="N9" s="58" t="s">
        <v>35</v>
      </c>
      <c r="O9" s="58" t="s">
        <v>16</v>
      </c>
      <c r="V9" s="57"/>
      <c r="AU9" s="2">
        <v>3</v>
      </c>
      <c r="BB9" s="2" t="e">
        <f>AU9*BA8</f>
        <v>#REF!</v>
      </c>
    </row>
    <row r="10" spans="7:61" x14ac:dyDescent="0.25">
      <c r="G10" s="70">
        <v>2.06</v>
      </c>
      <c r="H10" s="64" cm="1">
        <f t="array" ref="H10">D_one($H$2,$H$3,$H$7,$H$4,$H$4,G10)</f>
        <v>0.936865141517504</v>
      </c>
      <c r="I10" s="64">
        <f>H10-(G10*SQRT($H$7))</f>
        <v>3.4733723213933865E-2</v>
      </c>
      <c r="J10" s="63">
        <f>_xlfn.NORM.DIST(H10,0,1,TRUE)</f>
        <v>0.82558603400175545</v>
      </c>
      <c r="K10" s="62">
        <f>_xlfn.NORM.DIST(I10,0,1,TRUE)</f>
        <v>0.51385396504643444</v>
      </c>
      <c r="L10" s="68" cm="1">
        <f t="array" ref="L10">GBlackScholes("c",$H$2,$H$3,$H$7,$H$4,$H$4,G10)</f>
        <v>15.316087753125727</v>
      </c>
      <c r="M10" s="69">
        <f>L10-($H$2-$H$3)</f>
        <v>4.3160877531257267</v>
      </c>
      <c r="N10" s="73">
        <f>1-K10</f>
        <v>0.48614603495356556</v>
      </c>
      <c r="O10" s="65">
        <f>1-J10</f>
        <v>0.17441396599824455</v>
      </c>
      <c r="AU10" s="2">
        <v>3</v>
      </c>
      <c r="BC10" s="2" t="e">
        <f>AU10*BB9</f>
        <v>#REF!</v>
      </c>
    </row>
    <row r="11" spans="7:61" x14ac:dyDescent="0.25">
      <c r="AU11" s="2">
        <v>3</v>
      </c>
      <c r="BD11" s="2" t="e">
        <f>AU11*BC10</f>
        <v>#REF!</v>
      </c>
    </row>
    <row r="12" spans="7:61" x14ac:dyDescent="0.25">
      <c r="AU12" s="2">
        <v>3</v>
      </c>
      <c r="BE12" s="2" t="e">
        <f>AU12*BD11</f>
        <v>#REF!</v>
      </c>
    </row>
    <row r="13" spans="7:61" x14ac:dyDescent="0.25">
      <c r="G13" s="2" t="s">
        <v>49</v>
      </c>
      <c r="AU13" s="2">
        <v>3</v>
      </c>
      <c r="BF13" s="2" t="e">
        <f>AU13*BE12</f>
        <v>#REF!</v>
      </c>
    </row>
    <row r="14" spans="7:61" x14ac:dyDescent="0.25">
      <c r="G14" s="2" t="s">
        <v>50</v>
      </c>
      <c r="AU14" s="2">
        <v>3</v>
      </c>
      <c r="BG14" s="2" t="e">
        <f>AU14*BF13</f>
        <v>#REF!</v>
      </c>
    </row>
    <row r="15" spans="7:61" x14ac:dyDescent="0.25">
      <c r="AU15" s="2">
        <v>3</v>
      </c>
      <c r="BH15" s="2" t="e">
        <f>AU15*BG14</f>
        <v>#REF!</v>
      </c>
    </row>
    <row r="16" spans="7:61" x14ac:dyDescent="0.25">
      <c r="AU16" s="2">
        <v>3</v>
      </c>
      <c r="BI16" s="2" t="e">
        <f>AU16*BH15</f>
        <v>#REF!</v>
      </c>
    </row>
    <row r="17" spans="47:74" x14ac:dyDescent="0.25">
      <c r="AU17" s="2">
        <v>3</v>
      </c>
      <c r="BJ17" s="2" t="e">
        <f>AU17*BI16</f>
        <v>#REF!</v>
      </c>
    </row>
    <row r="18" spans="47:74" x14ac:dyDescent="0.25">
      <c r="AU18" s="2">
        <v>3</v>
      </c>
      <c r="BK18" s="2" t="e">
        <f>AU18*BJ17</f>
        <v>#REF!</v>
      </c>
    </row>
    <row r="19" spans="47:74" x14ac:dyDescent="0.25">
      <c r="AU19" s="2">
        <v>3</v>
      </c>
      <c r="BL19" s="2" t="e">
        <f>AU19*BK18</f>
        <v>#REF!</v>
      </c>
    </row>
    <row r="20" spans="47:74" x14ac:dyDescent="0.25">
      <c r="AU20" s="2">
        <v>3</v>
      </c>
      <c r="BM20" s="2" t="e">
        <f>AU20*BL19</f>
        <v>#REF!</v>
      </c>
    </row>
    <row r="21" spans="47:74" x14ac:dyDescent="0.25">
      <c r="AU21" s="2">
        <v>3</v>
      </c>
      <c r="BN21" s="2" t="e">
        <f>AU21*BM20</f>
        <v>#REF!</v>
      </c>
    </row>
    <row r="32" spans="47:74" x14ac:dyDescent="0.25">
      <c r="BF32" s="103">
        <f>13^30</f>
        <v>2.6199956436499452E+33</v>
      </c>
      <c r="BG32" s="103"/>
      <c r="BH32" s="103"/>
      <c r="BI32" s="103"/>
      <c r="BJ32" s="103"/>
      <c r="BK32" s="103"/>
      <c r="BL32" s="103"/>
      <c r="BM32" s="103"/>
      <c r="BN32" s="103"/>
      <c r="BO32" s="103"/>
      <c r="BP32" s="103"/>
      <c r="BQ32" s="103"/>
      <c r="BR32" s="103"/>
      <c r="BS32" s="103"/>
      <c r="BT32" s="103"/>
      <c r="BU32" s="103"/>
      <c r="BV32" s="103"/>
    </row>
  </sheetData>
  <mergeCells count="1">
    <mergeCell ref="BF32:BV32"/>
  </mergeCell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20EA11-6645-47F1-9810-ADB50AB97EB3}">
  <sheetPr codeName="Sheet2"/>
  <dimension ref="A2:AV49"/>
  <sheetViews>
    <sheetView showGridLines="0" workbookViewId="0">
      <selection activeCell="J33" sqref="J33"/>
    </sheetView>
  </sheetViews>
  <sheetFormatPr defaultRowHeight="15" x14ac:dyDescent="0.25"/>
  <cols>
    <col min="1" max="1" width="9.140625" style="1"/>
    <col min="2" max="2" width="18" style="1" bestFit="1" customWidth="1"/>
    <col min="3" max="3" width="4.85546875" style="1" bestFit="1" customWidth="1"/>
    <col min="4" max="4" width="14.85546875" style="1" customWidth="1"/>
    <col min="5" max="5" width="7.140625" style="1" bestFit="1" customWidth="1"/>
    <col min="6" max="6" width="12" style="1" bestFit="1" customWidth="1"/>
    <col min="7" max="7" width="9.140625" style="1" bestFit="1" customWidth="1"/>
    <col min="8" max="8" width="5.5703125" style="1" bestFit="1" customWidth="1"/>
    <col min="9" max="9" width="9.140625" style="1" bestFit="1"/>
    <col min="10" max="10" width="9.7109375" style="1" bestFit="1" customWidth="1"/>
    <col min="11" max="11" width="9.140625" style="1" bestFit="1"/>
    <col min="12" max="12" width="10.5703125" style="1" bestFit="1" customWidth="1"/>
    <col min="13" max="16384" width="9.140625" style="1"/>
  </cols>
  <sheetData>
    <row r="2" spans="1:48" x14ac:dyDescent="0.25">
      <c r="G2" s="74"/>
      <c r="I2" s="1" t="s">
        <v>40</v>
      </c>
      <c r="J2" s="90">
        <v>45464</v>
      </c>
    </row>
    <row r="3" spans="1:48" x14ac:dyDescent="0.25">
      <c r="I3" s="1" t="s">
        <v>0</v>
      </c>
      <c r="J3" s="91">
        <v>22</v>
      </c>
    </row>
    <row r="4" spans="1:48" x14ac:dyDescent="0.25">
      <c r="I4" s="1" t="s">
        <v>106</v>
      </c>
      <c r="J4" s="92">
        <v>0</v>
      </c>
    </row>
    <row r="5" spans="1:48" x14ac:dyDescent="0.25">
      <c r="G5" s="89" t="s">
        <v>107</v>
      </c>
    </row>
    <row r="6" spans="1:48" x14ac:dyDescent="0.25">
      <c r="B6" s="89" t="s">
        <v>105</v>
      </c>
      <c r="C6" s="89" t="s">
        <v>51</v>
      </c>
      <c r="D6" s="89" t="s">
        <v>52</v>
      </c>
      <c r="E6" s="89" t="s">
        <v>53</v>
      </c>
      <c r="F6" s="89" t="s">
        <v>54</v>
      </c>
      <c r="G6" s="89" t="s">
        <v>56</v>
      </c>
      <c r="H6" s="89" t="s">
        <v>55</v>
      </c>
      <c r="I6" s="89" t="s">
        <v>56</v>
      </c>
      <c r="J6" s="89" t="s">
        <v>20</v>
      </c>
      <c r="K6" s="89" t="s">
        <v>7</v>
      </c>
      <c r="AJ6" s="89" t="s">
        <v>108</v>
      </c>
      <c r="AK6" s="89" t="s">
        <v>109</v>
      </c>
    </row>
    <row r="7" spans="1:48" x14ac:dyDescent="0.25">
      <c r="B7" s="75">
        <v>45443</v>
      </c>
      <c r="C7" s="1" t="s">
        <v>57</v>
      </c>
      <c r="D7" s="76">
        <v>23.24</v>
      </c>
      <c r="E7" s="77">
        <v>-0.14000000000000001</v>
      </c>
      <c r="F7" s="1" t="s">
        <v>58</v>
      </c>
      <c r="G7" s="76">
        <v>5.6</v>
      </c>
      <c r="H7" s="78">
        <v>5000</v>
      </c>
      <c r="I7" s="1" t="s">
        <v>59</v>
      </c>
      <c r="J7" s="1">
        <f t="shared" ref="J7:J32" si="0">$J$2-B7</f>
        <v>21</v>
      </c>
      <c r="K7" s="93" cm="1">
        <f t="array" ref="K7">ImpliedVolatility_kris("c",D7,$J$3,J7/365,$J$4,$J$4,G7,0.01)</f>
        <v>2.3192131734416308</v>
      </c>
      <c r="AJ7" s="76" cm="1">
        <f t="array" ref="AJ7">GBlackScholes("c",D7,$J$3,J7/365,$J$4,$J$4,AK7)</f>
        <v>4.5586998056975823</v>
      </c>
      <c r="AK7" s="93">
        <v>1.82</v>
      </c>
      <c r="AL7" s="1" t="str">
        <f t="shared" ref="AL7:AL32" si="1">IF(AJ7-G7&gt;0.01,"lower",IF(AJ7-G7&lt;-0.01,"higher","ok"))</f>
        <v>higher</v>
      </c>
    </row>
    <row r="8" spans="1:48" s="85" customFormat="1" x14ac:dyDescent="0.25">
      <c r="A8" s="1"/>
      <c r="B8" s="84">
        <v>45442</v>
      </c>
      <c r="C8" s="85" t="s">
        <v>57</v>
      </c>
      <c r="D8" s="86">
        <v>22.59</v>
      </c>
      <c r="E8" s="87">
        <v>-0.11</v>
      </c>
      <c r="F8" s="85" t="s">
        <v>60</v>
      </c>
      <c r="G8" s="86">
        <v>5.2</v>
      </c>
      <c r="H8" s="88">
        <v>5000</v>
      </c>
      <c r="I8" s="85" t="s">
        <v>61</v>
      </c>
      <c r="J8" s="85">
        <f t="shared" si="0"/>
        <v>22</v>
      </c>
      <c r="K8" s="94" cm="1">
        <f t="array" ref="K8">ImpliedVolatility_kris("c",D8,$J$3,J8/365,$J$4,$J$4,G8,0.01)</f>
        <v>2.2729325154747033</v>
      </c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76" cm="1">
        <f t="array" ref="AJ8">GBlackScholes("c",D8,$J$3,J8/365,$J$4,$J$4,AK8)</f>
        <v>4.2219576839363109</v>
      </c>
      <c r="AK8" s="93">
        <v>1.81</v>
      </c>
      <c r="AL8" s="1" t="str">
        <f t="shared" si="1"/>
        <v>higher</v>
      </c>
      <c r="AM8" s="1"/>
      <c r="AN8" s="1"/>
      <c r="AO8" s="1"/>
      <c r="AP8" s="1"/>
      <c r="AQ8" s="1"/>
      <c r="AR8" s="1"/>
      <c r="AS8" s="1"/>
      <c r="AT8" s="1"/>
      <c r="AU8" s="1"/>
      <c r="AV8" s="1"/>
    </row>
    <row r="9" spans="1:48" s="85" customFormat="1" x14ac:dyDescent="0.25">
      <c r="A9" s="1"/>
      <c r="B9" s="84">
        <v>45441</v>
      </c>
      <c r="C9" s="85" t="s">
        <v>62</v>
      </c>
      <c r="D9" s="86">
        <v>22.2</v>
      </c>
      <c r="E9" s="87">
        <v>-0.1</v>
      </c>
      <c r="F9" s="85" t="s">
        <v>63</v>
      </c>
      <c r="G9" s="86">
        <v>5.5</v>
      </c>
      <c r="H9" s="88">
        <v>5000</v>
      </c>
      <c r="I9" s="85" t="s">
        <v>64</v>
      </c>
      <c r="J9" s="85">
        <f t="shared" si="0"/>
        <v>23</v>
      </c>
      <c r="K9" s="94" cm="1">
        <f t="array" ref="K9">ImpliedVolatility_kris("c",D9,$J$3,J9/365,$J$4,$J$4,G9,0.01)</f>
        <v>2.4790715447633396</v>
      </c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76" cm="1">
        <f t="array" ref="AJ9">GBlackScholes("c",D9,$J$3,J9/365,$J$4,$J$4,AK9)</f>
        <v>4.5881615848382964</v>
      </c>
      <c r="AK9" s="93">
        <v>2.0499999999999998</v>
      </c>
      <c r="AL9" s="1" t="str">
        <f t="shared" si="1"/>
        <v>higher</v>
      </c>
      <c r="AM9" s="1"/>
      <c r="AN9" s="1"/>
      <c r="AO9" s="1"/>
      <c r="AP9" s="1"/>
      <c r="AQ9" s="1"/>
      <c r="AR9" s="1"/>
      <c r="AS9" s="1"/>
      <c r="AT9" s="1"/>
      <c r="AU9" s="1"/>
      <c r="AV9" s="1"/>
    </row>
    <row r="10" spans="1:48" s="80" customFormat="1" x14ac:dyDescent="0.25">
      <c r="A10" s="1"/>
      <c r="B10" s="79">
        <v>45440</v>
      </c>
      <c r="C10" s="80" t="s">
        <v>57</v>
      </c>
      <c r="D10" s="81">
        <v>23.34</v>
      </c>
      <c r="E10" s="82">
        <v>-0.14000000000000001</v>
      </c>
      <c r="F10" s="80" t="s">
        <v>65</v>
      </c>
      <c r="G10" s="81">
        <v>6.5</v>
      </c>
      <c r="H10" s="83">
        <v>5000</v>
      </c>
      <c r="I10" s="80" t="s">
        <v>66</v>
      </c>
      <c r="J10" s="80">
        <f t="shared" si="0"/>
        <v>24</v>
      </c>
      <c r="K10" s="95" cm="1">
        <f t="array" ref="K10">ImpliedVolatility_kris("c",D10,$J$3,J10/365,$J$4,$J$4,G10,0.01)</f>
        <v>2.5482679924169709</v>
      </c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76" cm="1">
        <f t="array" ref="AJ10">GBlackScholes("c",D10,$J$3,J10/365,$J$4,$J$4,AK10)</f>
        <v>5.5324086606226475</v>
      </c>
      <c r="AK10" s="93">
        <v>2.11</v>
      </c>
      <c r="AL10" s="1" t="str">
        <f t="shared" si="1"/>
        <v>higher</v>
      </c>
      <c r="AM10" s="1"/>
      <c r="AN10" s="1"/>
      <c r="AO10" s="1"/>
      <c r="AP10" s="1"/>
      <c r="AQ10" s="1"/>
      <c r="AR10" s="1"/>
      <c r="AS10" s="1"/>
      <c r="AT10" s="1"/>
      <c r="AU10" s="1"/>
      <c r="AV10" s="1"/>
    </row>
    <row r="11" spans="1:48" x14ac:dyDescent="0.25">
      <c r="B11" s="75">
        <v>45440</v>
      </c>
      <c r="C11" s="1" t="s">
        <v>57</v>
      </c>
      <c r="D11" s="76">
        <v>25.47</v>
      </c>
      <c r="E11" s="77">
        <v>-0.21</v>
      </c>
      <c r="F11" s="1" t="s">
        <v>67</v>
      </c>
      <c r="G11" s="76">
        <v>8.25</v>
      </c>
      <c r="H11" s="78">
        <v>5000</v>
      </c>
      <c r="I11" s="1" t="s">
        <v>68</v>
      </c>
      <c r="J11" s="1">
        <f t="shared" si="0"/>
        <v>24</v>
      </c>
      <c r="K11" s="93" cm="1">
        <f t="array" ref="K11">ImpliedVolatility_kris("c",D11,$J$3,J11/365,$J$4,$J$4,G11,0.01)</f>
        <v>2.6777837938401459</v>
      </c>
      <c r="AJ11" s="76" cm="1">
        <f t="array" ref="AJ11">GBlackScholes("c",D11,$J$3,J11/365,$J$4,$J$4,AK11)</f>
        <v>7.1783752348467553</v>
      </c>
      <c r="AK11" s="93">
        <v>2.2000000000000002</v>
      </c>
      <c r="AL11" s="1" t="str">
        <f t="shared" si="1"/>
        <v>higher</v>
      </c>
    </row>
    <row r="12" spans="1:48" s="80" customFormat="1" x14ac:dyDescent="0.25">
      <c r="A12" s="1"/>
      <c r="B12" s="79">
        <v>45436</v>
      </c>
      <c r="C12" s="80" t="s">
        <v>69</v>
      </c>
      <c r="D12" s="81">
        <v>18.18</v>
      </c>
      <c r="E12" s="82">
        <v>0.1</v>
      </c>
      <c r="F12" s="80" t="s">
        <v>70</v>
      </c>
      <c r="G12" s="81">
        <v>3.5</v>
      </c>
      <c r="H12" s="83">
        <v>5000</v>
      </c>
      <c r="I12" s="80" t="s">
        <v>71</v>
      </c>
      <c r="J12" s="80">
        <f t="shared" si="0"/>
        <v>28</v>
      </c>
      <c r="K12" s="95" cm="1">
        <f t="array" ref="K12">ImpliedVolatility_kris("c",D12,$J$3,J12/365,$J$4,$J$4,G12,0.01)</f>
        <v>2.3867707640291616</v>
      </c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76" cm="1">
        <f t="array" ref="AJ12">GBlackScholes("c",D12,$J$3,J12/365,$J$4,$J$4,AK12)</f>
        <v>2.8838528170907454</v>
      </c>
      <c r="AK12" s="93">
        <v>2.08</v>
      </c>
      <c r="AL12" s="1" t="str">
        <f t="shared" si="1"/>
        <v>higher</v>
      </c>
      <c r="AM12" s="1"/>
      <c r="AN12" s="1"/>
      <c r="AO12" s="1"/>
      <c r="AP12" s="1"/>
      <c r="AQ12" s="1"/>
      <c r="AR12" s="1"/>
      <c r="AS12" s="1"/>
      <c r="AT12" s="1"/>
      <c r="AU12" s="1"/>
      <c r="AV12" s="1"/>
    </row>
    <row r="13" spans="1:48" x14ac:dyDescent="0.25">
      <c r="B13" s="75">
        <v>45436</v>
      </c>
      <c r="C13" s="1" t="s">
        <v>57</v>
      </c>
      <c r="D13" s="76">
        <v>18.260000000000002</v>
      </c>
      <c r="E13" s="77">
        <v>0.1</v>
      </c>
      <c r="F13" s="1" t="s">
        <v>72</v>
      </c>
      <c r="G13" s="76">
        <v>3.35</v>
      </c>
      <c r="H13" s="78">
        <v>5000</v>
      </c>
      <c r="I13" s="1" t="s">
        <v>73</v>
      </c>
      <c r="J13" s="1">
        <f t="shared" si="0"/>
        <v>28</v>
      </c>
      <c r="K13" s="93" cm="1">
        <f t="array" ref="K13">ImpliedVolatility_kris("c",D13,$J$3,J13/365,$J$4,$J$4,G13,0.01)</f>
        <v>2.2918563977153559</v>
      </c>
      <c r="AJ13" s="76" cm="1">
        <f t="array" ref="AJ13">GBlackScholes("c",D13,$J$3,J13/365,$J$4,$J$4,AK13)</f>
        <v>2.7412366025736392</v>
      </c>
      <c r="AK13" s="93">
        <v>1.99</v>
      </c>
      <c r="AL13" s="1" t="str">
        <f t="shared" si="1"/>
        <v>higher</v>
      </c>
    </row>
    <row r="14" spans="1:48" s="80" customFormat="1" x14ac:dyDescent="0.25">
      <c r="A14" s="1"/>
      <c r="B14" s="79">
        <v>45434</v>
      </c>
      <c r="C14" s="80" t="s">
        <v>57</v>
      </c>
      <c r="D14" s="81">
        <v>21.62</v>
      </c>
      <c r="E14" s="82">
        <v>-7.0000000000000007E-2</v>
      </c>
      <c r="F14" s="80" t="s">
        <v>74</v>
      </c>
      <c r="G14" s="81">
        <v>6.75</v>
      </c>
      <c r="H14" s="83">
        <v>5000</v>
      </c>
      <c r="I14" s="80" t="s">
        <v>75</v>
      </c>
      <c r="J14" s="80">
        <f t="shared" si="0"/>
        <v>30</v>
      </c>
      <c r="K14" s="95" cm="1">
        <f t="array" ref="K14">ImpliedVolatility_kris("c",D14,$J$3,J14/365,$J$4,$J$4,G14,0.01)</f>
        <v>2.859560804996101</v>
      </c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76" cm="1">
        <f t="array" ref="AJ14">GBlackScholes("c",D14,$J$3,J14/365,$J$4,$J$4,AK14)</f>
        <v>5.987081486009509</v>
      </c>
      <c r="AK14" s="93">
        <v>2.5299999999999998</v>
      </c>
      <c r="AL14" s="1" t="str">
        <f t="shared" si="1"/>
        <v>higher</v>
      </c>
      <c r="AM14" s="1"/>
      <c r="AN14" s="1"/>
      <c r="AO14" s="1"/>
      <c r="AP14" s="1"/>
      <c r="AQ14" s="1"/>
      <c r="AR14" s="1"/>
      <c r="AS14" s="1"/>
      <c r="AT14" s="1"/>
      <c r="AU14" s="1"/>
      <c r="AV14" s="1"/>
    </row>
    <row r="15" spans="1:48" x14ac:dyDescent="0.25">
      <c r="B15" s="75">
        <v>45434</v>
      </c>
      <c r="C15" s="1" t="s">
        <v>62</v>
      </c>
      <c r="D15" s="76">
        <v>22.01</v>
      </c>
      <c r="E15" s="77">
        <v>-0.09</v>
      </c>
      <c r="F15" s="1" t="s">
        <v>76</v>
      </c>
      <c r="G15" s="76">
        <v>7.25</v>
      </c>
      <c r="H15" s="78">
        <v>1462</v>
      </c>
      <c r="I15" s="1" t="s">
        <v>77</v>
      </c>
      <c r="J15" s="1">
        <f t="shared" si="0"/>
        <v>30</v>
      </c>
      <c r="K15" s="93" cm="1">
        <f t="array" ref="K15">ImpliedVolatility_kris("c",D15,$J$3,J15/365,$J$4,$J$4,G15,0.01)</f>
        <v>2.9654360542464775</v>
      </c>
      <c r="AJ15" s="76" cm="1">
        <f t="array" ref="AJ15">GBlackScholes("c",D15,$J$3,J15/365,$J$4,$J$4,AK15)</f>
        <v>6.4706310378318825</v>
      </c>
      <c r="AK15" s="93">
        <v>2.63</v>
      </c>
      <c r="AL15" s="1" t="str">
        <f t="shared" si="1"/>
        <v>higher</v>
      </c>
    </row>
    <row r="16" spans="1:48" x14ac:dyDescent="0.25">
      <c r="B16" s="75">
        <v>45434</v>
      </c>
      <c r="C16" s="1" t="s">
        <v>57</v>
      </c>
      <c r="D16" s="76">
        <v>21.91</v>
      </c>
      <c r="E16" s="77">
        <v>-0.09</v>
      </c>
      <c r="F16" s="1" t="s">
        <v>78</v>
      </c>
      <c r="G16" s="76">
        <v>7.05</v>
      </c>
      <c r="H16" s="78">
        <v>5000</v>
      </c>
      <c r="I16" s="1" t="s">
        <v>79</v>
      </c>
      <c r="J16" s="1">
        <f t="shared" si="0"/>
        <v>30</v>
      </c>
      <c r="K16" s="93" cm="1">
        <f t="array" ref="K16">ImpliedVolatility_kris("c",D16,$J$3,J16/365,$J$4,$J$4,G16,0.01)</f>
        <v>2.9073237284781142</v>
      </c>
      <c r="AJ16" s="76" cm="1">
        <f t="array" ref="AJ16">GBlackScholes("c",D16,$J$3,J16/365,$J$4,$J$4,AK16)</f>
        <v>6.2654773418681939</v>
      </c>
      <c r="AK16" s="93">
        <v>2.57</v>
      </c>
      <c r="AL16" s="1" t="str">
        <f t="shared" si="1"/>
        <v>higher</v>
      </c>
    </row>
    <row r="17" spans="1:48" x14ac:dyDescent="0.25">
      <c r="B17" s="75">
        <v>45434</v>
      </c>
      <c r="C17" s="1" t="s">
        <v>57</v>
      </c>
      <c r="D17" s="76">
        <v>22.02</v>
      </c>
      <c r="E17" s="77">
        <v>-0.09</v>
      </c>
      <c r="F17" s="1" t="s">
        <v>80</v>
      </c>
      <c r="G17" s="76">
        <v>6.7</v>
      </c>
      <c r="H17" s="78">
        <v>5000</v>
      </c>
      <c r="I17" s="1" t="s">
        <v>81</v>
      </c>
      <c r="J17" s="1">
        <f t="shared" si="0"/>
        <v>30</v>
      </c>
      <c r="K17" s="93" cm="1">
        <f t="array" ref="K17">ImpliedVolatility_kris("c",D17,$J$3,J17/365,$J$4,$J$4,G17,0.01)</f>
        <v>2.7252082618720208</v>
      </c>
      <c r="AJ17" s="76" cm="1">
        <f t="array" ref="AJ17">GBlackScholes("c",D17,$J$3,J17/365,$J$4,$J$4,AK17)</f>
        <v>5.8870859373566571</v>
      </c>
      <c r="AK17" s="93">
        <v>2.38</v>
      </c>
      <c r="AL17" s="1" t="str">
        <f t="shared" si="1"/>
        <v>higher</v>
      </c>
    </row>
    <row r="18" spans="1:48" x14ac:dyDescent="0.25">
      <c r="B18" s="75">
        <v>45434</v>
      </c>
      <c r="C18" s="1" t="s">
        <v>57</v>
      </c>
      <c r="D18" s="76">
        <v>21.63</v>
      </c>
      <c r="E18" s="77">
        <v>-0.08</v>
      </c>
      <c r="F18" s="1" t="s">
        <v>82</v>
      </c>
      <c r="G18" s="76">
        <v>6.25</v>
      </c>
      <c r="H18" s="78">
        <v>5000</v>
      </c>
      <c r="I18" s="1" t="s">
        <v>83</v>
      </c>
      <c r="J18" s="1">
        <f t="shared" si="0"/>
        <v>30</v>
      </c>
      <c r="K18" s="93" cm="1">
        <f t="array" ref="K18">ImpliedVolatility_kris("c",D18,$J$3,J18/365,$J$4,$J$4,G18,0.01)</f>
        <v>2.6401309564813942</v>
      </c>
      <c r="AJ18" s="76" cm="1">
        <f t="array" ref="AJ18">GBlackScholes("c",D18,$J$3,J18/365,$J$4,$J$4,AK18)</f>
        <v>5.4531259549942357</v>
      </c>
      <c r="AK18" s="93">
        <v>2.2999999999999998</v>
      </c>
      <c r="AL18" s="1" t="str">
        <f t="shared" si="1"/>
        <v>higher</v>
      </c>
    </row>
    <row r="19" spans="1:48" x14ac:dyDescent="0.25">
      <c r="A19" s="1" cm="1">
        <f t="array" ref="A19">Vega_kris(D19,J3,30/365,0,0,0.5)/100</f>
        <v>1.9183886944047716E-2</v>
      </c>
      <c r="B19" s="75">
        <v>45434</v>
      </c>
      <c r="C19" s="1" t="s">
        <v>57</v>
      </c>
      <c r="D19" s="76">
        <v>20</v>
      </c>
      <c r="E19" s="77">
        <v>-0.08</v>
      </c>
      <c r="F19" s="1" t="s">
        <v>84</v>
      </c>
      <c r="G19" s="76">
        <v>6.2</v>
      </c>
      <c r="H19" s="78">
        <v>5000</v>
      </c>
      <c r="I19" s="1" t="s">
        <v>85</v>
      </c>
      <c r="J19" s="1">
        <f t="shared" si="0"/>
        <v>30</v>
      </c>
      <c r="K19" s="93" cm="1">
        <f t="array" ref="K19">ImpliedVolatility_kris("c",D19,$J$3,J19/365,$J$4,$J$4,G19,0.01)</f>
        <v>3.0785156427639935</v>
      </c>
      <c r="AJ19" s="76" cm="1">
        <f t="array" ref="AJ19">GBlackScholes("c",D19,$J$3,J19/365,$J$4,$J$4,AK19)</f>
        <v>4.2775536554366562</v>
      </c>
      <c r="AK19" s="93">
        <v>2.21</v>
      </c>
      <c r="AL19" s="1" t="str">
        <f t="shared" si="1"/>
        <v>higher</v>
      </c>
    </row>
    <row r="20" spans="1:48" x14ac:dyDescent="0.25">
      <c r="A20" s="1" cm="1">
        <f t="array" ref="A20">D_one(D19,J3,30/365,0,0,0.47)</f>
        <v>-0.6399659940804634</v>
      </c>
      <c r="B20" s="75">
        <v>45434</v>
      </c>
      <c r="C20" s="1" t="s">
        <v>57</v>
      </c>
      <c r="D20" s="76">
        <v>21</v>
      </c>
      <c r="E20" s="77">
        <v>-0.06</v>
      </c>
      <c r="F20" s="1" t="s">
        <v>86</v>
      </c>
      <c r="G20" s="76">
        <v>5.8</v>
      </c>
      <c r="H20" s="78">
        <v>5000</v>
      </c>
      <c r="I20" s="1" t="s">
        <v>87</v>
      </c>
      <c r="J20" s="1">
        <f t="shared" si="0"/>
        <v>30</v>
      </c>
      <c r="K20" s="93" cm="1">
        <f t="array" ref="K20">ImpliedVolatility_kris("c",D20,$J$3,J20/365,$J$4,$J$4,G20,0.01)</f>
        <v>2.6174104114913095</v>
      </c>
      <c r="AJ20" s="76" cm="1">
        <f t="array" ref="AJ20">GBlackScholes("c",D20,$J$3,J20/365,$J$4,$J$4,AK20)</f>
        <v>4.9054331891016121</v>
      </c>
      <c r="AK20" s="93">
        <v>2.23</v>
      </c>
      <c r="AL20" s="1" t="str">
        <f t="shared" si="1"/>
        <v>higher</v>
      </c>
    </row>
    <row r="21" spans="1:48" x14ac:dyDescent="0.25">
      <c r="A21" s="1">
        <f>_xlfn.NORM.DIST(A20,0,1,TRUE)</f>
        <v>0.26109735385434601</v>
      </c>
      <c r="B21" s="75">
        <v>45434</v>
      </c>
      <c r="C21" s="1" t="s">
        <v>57</v>
      </c>
      <c r="D21" s="76">
        <v>21.31</v>
      </c>
      <c r="E21" s="77">
        <v>-0.06</v>
      </c>
      <c r="F21" s="1" t="s">
        <v>88</v>
      </c>
      <c r="G21" s="76">
        <v>5.85</v>
      </c>
      <c r="H21" s="78">
        <v>5000</v>
      </c>
      <c r="I21" s="1" t="s">
        <v>89</v>
      </c>
      <c r="J21" s="1">
        <f t="shared" si="0"/>
        <v>30</v>
      </c>
      <c r="K21" s="93" cm="1">
        <f t="array" ref="K21">ImpliedVolatility_kris("c",D21,$J$3,J21/365,$J$4,$J$4,G21,0.01)</f>
        <v>2.5549853678957821</v>
      </c>
      <c r="AJ21" s="76" cm="1">
        <f t="array" ref="AJ21">GBlackScholes("c",D21,$J$3,J21/365,$J$4,$J$4,AK21)</f>
        <v>5.0450110944606124</v>
      </c>
      <c r="AK21" s="93">
        <v>2.21</v>
      </c>
      <c r="AL21" s="1" t="str">
        <f t="shared" si="1"/>
        <v>higher</v>
      </c>
    </row>
    <row r="22" spans="1:48" x14ac:dyDescent="0.25">
      <c r="B22" s="75">
        <v>45434</v>
      </c>
      <c r="C22" s="1" t="s">
        <v>57</v>
      </c>
      <c r="D22" s="76">
        <v>21.03</v>
      </c>
      <c r="E22" s="77">
        <v>-0.05</v>
      </c>
      <c r="F22" s="1" t="s">
        <v>90</v>
      </c>
      <c r="G22" s="76">
        <v>5.5</v>
      </c>
      <c r="H22" s="78">
        <v>5000</v>
      </c>
      <c r="I22" s="1" t="s">
        <v>64</v>
      </c>
      <c r="J22" s="1">
        <f t="shared" si="0"/>
        <v>30</v>
      </c>
      <c r="K22" s="93" cm="1">
        <f t="array" ref="K22">ImpliedVolatility_kris("c",D22,$J$3,J22/365,$J$4,$J$4,G22,0.01)</f>
        <v>2.478668859184332</v>
      </c>
      <c r="AJ22" s="76" cm="1">
        <f t="array" ref="AJ22">GBlackScholes("c",D22,$J$3,J22/365,$J$4,$J$4,AK22)</f>
        <v>4.7131062814667937</v>
      </c>
      <c r="AK22" s="93">
        <v>2.14</v>
      </c>
      <c r="AL22" s="1" t="str">
        <f t="shared" si="1"/>
        <v>higher</v>
      </c>
    </row>
    <row r="23" spans="1:48" x14ac:dyDescent="0.25">
      <c r="B23" s="75">
        <v>45434</v>
      </c>
      <c r="C23" s="1" t="s">
        <v>69</v>
      </c>
      <c r="D23" s="76">
        <v>20.98</v>
      </c>
      <c r="E23" s="77">
        <v>-0.05</v>
      </c>
      <c r="F23" s="1" t="s">
        <v>91</v>
      </c>
      <c r="G23" s="76">
        <v>5</v>
      </c>
      <c r="H23" s="78">
        <v>5000</v>
      </c>
      <c r="I23" s="1" t="s">
        <v>92</v>
      </c>
      <c r="J23" s="1">
        <f t="shared" si="0"/>
        <v>30</v>
      </c>
      <c r="K23" s="93" cm="1">
        <f t="array" ref="K23">ImpliedVolatility_kris("c",D23,$J$3,J23/365,$J$4,$J$4,G23,0.01)</f>
        <v>2.2757524907982472</v>
      </c>
      <c r="AJ23" s="76" cm="1">
        <f t="array" ref="AJ23">GBlackScholes("c",D23,$J$3,J23/365,$J$4,$J$4,AK23)</f>
        <v>4.1906735805586646</v>
      </c>
      <c r="AK23" s="93">
        <v>1.93</v>
      </c>
      <c r="AL23" s="1" t="str">
        <f t="shared" si="1"/>
        <v>higher</v>
      </c>
    </row>
    <row r="24" spans="1:48" x14ac:dyDescent="0.25">
      <c r="B24" s="75">
        <v>45434</v>
      </c>
      <c r="C24" s="1" t="s">
        <v>62</v>
      </c>
      <c r="D24" s="76">
        <v>21.05</v>
      </c>
      <c r="E24" s="77">
        <v>-0.05</v>
      </c>
      <c r="F24" s="1" t="s">
        <v>93</v>
      </c>
      <c r="G24" s="76">
        <v>5</v>
      </c>
      <c r="H24" s="78">
        <v>5000</v>
      </c>
      <c r="I24" s="1" t="s">
        <v>92</v>
      </c>
      <c r="J24" s="1">
        <f t="shared" si="0"/>
        <v>30</v>
      </c>
      <c r="K24" s="93" cm="1">
        <f t="array" ref="K24">ImpliedVolatility_kris("c",D24,$J$3,J24/365,$J$4,$J$4,G24,0.01)</f>
        <v>2.2577076728134582</v>
      </c>
      <c r="AJ24" s="76" cm="1">
        <f t="array" ref="AJ24">GBlackScholes("c",D24,$J$3,J24/365,$J$4,$J$4,AK24)</f>
        <v>4.1838098986860848</v>
      </c>
      <c r="AK24" s="93">
        <v>1.91</v>
      </c>
      <c r="AL24" s="1" t="str">
        <f t="shared" si="1"/>
        <v>higher</v>
      </c>
    </row>
    <row r="25" spans="1:48" x14ac:dyDescent="0.25">
      <c r="B25" s="75">
        <v>45434</v>
      </c>
      <c r="C25" s="1" t="s">
        <v>57</v>
      </c>
      <c r="D25" s="76">
        <v>21.08</v>
      </c>
      <c r="E25" s="77">
        <v>-0.05</v>
      </c>
      <c r="F25" s="1" t="s">
        <v>94</v>
      </c>
      <c r="G25" s="76">
        <v>5</v>
      </c>
      <c r="H25" s="78">
        <v>5000</v>
      </c>
      <c r="I25" s="1" t="s">
        <v>92</v>
      </c>
      <c r="J25" s="1">
        <f t="shared" si="0"/>
        <v>30</v>
      </c>
      <c r="K25" s="93" cm="1">
        <f t="array" ref="K25">ImpliedVolatility_kris("c",D25,$J$3,J25/365,$J$4,$J$4,G25,0.01)</f>
        <v>2.249980735540078</v>
      </c>
      <c r="AJ25" s="76" cm="1">
        <f t="array" ref="AJ25">GBlackScholes("c",D25,$J$3,J25/365,$J$4,$J$4,AK25)</f>
        <v>4.1774664043578422</v>
      </c>
      <c r="AK25" s="93">
        <v>1.9</v>
      </c>
      <c r="AL25" s="1" t="str">
        <f t="shared" si="1"/>
        <v>higher</v>
      </c>
    </row>
    <row r="26" spans="1:48" x14ac:dyDescent="0.25">
      <c r="B26" s="75">
        <v>45434</v>
      </c>
      <c r="C26" s="1" t="s">
        <v>57</v>
      </c>
      <c r="D26" s="76">
        <v>21.04</v>
      </c>
      <c r="E26" s="77">
        <v>-0.05</v>
      </c>
      <c r="F26" s="1" t="s">
        <v>94</v>
      </c>
      <c r="G26" s="76">
        <v>5</v>
      </c>
      <c r="H26" s="78">
        <v>5000</v>
      </c>
      <c r="I26" s="1" t="s">
        <v>92</v>
      </c>
      <c r="J26" s="1">
        <f t="shared" si="0"/>
        <v>30</v>
      </c>
      <c r="K26" s="93" cm="1">
        <f t="array" ref="K26">ImpliedVolatility_kris("c",D26,$J$3,J26/365,$J$4,$J$4,G26,0.01)</f>
        <v>2.2602841974905403</v>
      </c>
      <c r="AJ26" s="76" cm="1">
        <f t="array" ref="AJ26">GBlackScholes("c",D26,$J$3,J26/365,$J$4,$J$4,AK26)</f>
        <v>4.1780456981575913</v>
      </c>
      <c r="AK26" s="93">
        <v>1.91</v>
      </c>
      <c r="AL26" s="1" t="str">
        <f t="shared" si="1"/>
        <v>higher</v>
      </c>
    </row>
    <row r="27" spans="1:48" s="80" customFormat="1" x14ac:dyDescent="0.25">
      <c r="A27" s="1"/>
      <c r="B27" s="79">
        <v>45433</v>
      </c>
      <c r="C27" s="80" t="s">
        <v>57</v>
      </c>
      <c r="D27" s="81">
        <v>22.28</v>
      </c>
      <c r="E27" s="82">
        <v>-0.1</v>
      </c>
      <c r="F27" s="80" t="s">
        <v>95</v>
      </c>
      <c r="G27" s="81">
        <v>5.75</v>
      </c>
      <c r="H27" s="83">
        <v>5000</v>
      </c>
      <c r="I27" s="80" t="s">
        <v>96</v>
      </c>
      <c r="J27" s="80">
        <f t="shared" si="0"/>
        <v>31</v>
      </c>
      <c r="K27" s="95" cm="1">
        <f t="array" ref="K27">ImpliedVolatility_kris("c",D27,$J$3,J27/365,$J$4,$J$4,G27,0.01)</f>
        <v>2.2169619647378749</v>
      </c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76" cm="1">
        <f t="array" ref="AJ27">GBlackScholes("c",D27,$J$3,J27/365,$J$4,$J$4,AK27)</f>
        <v>4.8462592798787938</v>
      </c>
      <c r="AK27" s="93">
        <v>1.85</v>
      </c>
      <c r="AL27" s="1" t="str">
        <f t="shared" si="1"/>
        <v>higher</v>
      </c>
      <c r="AM27" s="1"/>
      <c r="AN27" s="1"/>
      <c r="AO27" s="1"/>
      <c r="AP27" s="1"/>
      <c r="AQ27" s="1"/>
      <c r="AR27" s="1"/>
      <c r="AS27" s="1"/>
      <c r="AT27" s="1"/>
      <c r="AU27" s="1"/>
      <c r="AV27" s="1"/>
    </row>
    <row r="28" spans="1:48" x14ac:dyDescent="0.25">
      <c r="B28" s="75">
        <v>45433</v>
      </c>
      <c r="C28" s="1" t="s">
        <v>57</v>
      </c>
      <c r="D28" s="76">
        <v>21.7</v>
      </c>
      <c r="E28" s="77">
        <v>-0.08</v>
      </c>
      <c r="F28" s="1" t="s">
        <v>97</v>
      </c>
      <c r="G28" s="76">
        <v>5.5</v>
      </c>
      <c r="H28" s="78">
        <v>5000</v>
      </c>
      <c r="I28" s="1" t="s">
        <v>64</v>
      </c>
      <c r="J28" s="1">
        <f t="shared" si="0"/>
        <v>31</v>
      </c>
      <c r="K28" s="93" cm="1">
        <f t="array" ref="K28">ImpliedVolatility_kris("c",D28,$J$3,J28/365,$J$4,$J$4,G28,0.01)</f>
        <v>2.2640124927392664</v>
      </c>
      <c r="AJ28" s="76" cm="1">
        <f t="array" ref="AJ28">GBlackScholes("c",D28,$J$3,J28/365,$J$4,$J$4,AK28)</f>
        <v>4.641595741344017</v>
      </c>
      <c r="AK28" s="93">
        <v>1.91</v>
      </c>
      <c r="AL28" s="1" t="str">
        <f t="shared" si="1"/>
        <v>higher</v>
      </c>
    </row>
    <row r="29" spans="1:48" x14ac:dyDescent="0.25">
      <c r="B29" s="75">
        <v>45433</v>
      </c>
      <c r="C29" s="1" t="s">
        <v>57</v>
      </c>
      <c r="D29" s="76">
        <v>21.27</v>
      </c>
      <c r="E29" s="77">
        <v>-0.06</v>
      </c>
      <c r="F29" s="1" t="s">
        <v>98</v>
      </c>
      <c r="G29" s="76">
        <v>4.95</v>
      </c>
      <c r="H29" s="78">
        <v>5000</v>
      </c>
      <c r="I29" s="1" t="s">
        <v>99</v>
      </c>
      <c r="J29" s="1">
        <f t="shared" si="0"/>
        <v>31</v>
      </c>
      <c r="K29" s="93" cm="1">
        <f t="array" ref="K29">ImpliedVolatility_kris("c",D29,$J$3,J29/365,$J$4,$J$4,G29,0.01)</f>
        <v>2.1482335744504715</v>
      </c>
      <c r="AJ29" s="76" cm="1">
        <f t="array" ref="AJ29">GBlackScholes("c",D29,$J$3,J29/365,$J$4,$J$4,AK29)</f>
        <v>4.09607229291354</v>
      </c>
      <c r="AK29" s="93">
        <v>1.79</v>
      </c>
      <c r="AL29" s="1" t="str">
        <f t="shared" si="1"/>
        <v>higher</v>
      </c>
    </row>
    <row r="30" spans="1:48" x14ac:dyDescent="0.25">
      <c r="B30" s="75">
        <v>45433</v>
      </c>
      <c r="C30" s="1" t="s">
        <v>62</v>
      </c>
      <c r="D30" s="76">
        <v>21.65</v>
      </c>
      <c r="E30" s="77">
        <v>-0.08</v>
      </c>
      <c r="F30" s="1" t="s">
        <v>100</v>
      </c>
      <c r="G30" s="76">
        <v>5</v>
      </c>
      <c r="H30" s="78">
        <v>5000</v>
      </c>
      <c r="I30" s="1" t="s">
        <v>92</v>
      </c>
      <c r="J30" s="1">
        <f t="shared" si="0"/>
        <v>31</v>
      </c>
      <c r="K30" s="93" cm="1">
        <f t="array" ref="K30">ImpliedVolatility_kris("c",D30,$J$3,J30/365,$J$4,$J$4,G30,0.01)</f>
        <v>2.0696872279155776</v>
      </c>
      <c r="AJ30" s="76" cm="1">
        <f t="array" ref="AJ30">GBlackScholes("c",D30,$J$3,J30/365,$J$4,$J$4,AK30)</f>
        <v>4.1217449461358058</v>
      </c>
      <c r="AK30" s="93">
        <v>1.71</v>
      </c>
      <c r="AL30" s="1" t="str">
        <f t="shared" si="1"/>
        <v>higher</v>
      </c>
    </row>
    <row r="31" spans="1:48" s="80" customFormat="1" x14ac:dyDescent="0.25">
      <c r="A31" s="1"/>
      <c r="B31" s="79">
        <v>45432</v>
      </c>
      <c r="C31" s="80" t="s">
        <v>57</v>
      </c>
      <c r="D31" s="81">
        <v>20.88</v>
      </c>
      <c r="E31" s="82">
        <v>-0.04</v>
      </c>
      <c r="F31" s="80" t="s">
        <v>101</v>
      </c>
      <c r="G31" s="81">
        <v>4.8499999999999996</v>
      </c>
      <c r="H31" s="83">
        <v>5000</v>
      </c>
      <c r="I31" s="80" t="s">
        <v>102</v>
      </c>
      <c r="J31" s="80">
        <f t="shared" si="0"/>
        <v>32</v>
      </c>
      <c r="K31" s="95" cm="1">
        <f t="array" ref="K31">ImpliedVolatility_kris("c",D31,$J$3,J31/365,$J$4,$J$4,G31,0.01)</f>
        <v>2.1658341452091867</v>
      </c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76" cm="1">
        <f t="array" ref="AJ31">GBlackScholes("c",D31,$J$3,J31/365,$J$4,$J$4,AK31)</f>
        <v>4.0392950151608709</v>
      </c>
      <c r="AK31" s="93">
        <v>1.83</v>
      </c>
      <c r="AL31" s="1" t="str">
        <f t="shared" si="1"/>
        <v>higher</v>
      </c>
      <c r="AM31" s="1"/>
      <c r="AN31" s="1"/>
      <c r="AO31" s="1"/>
      <c r="AP31" s="1"/>
      <c r="AQ31" s="1"/>
      <c r="AR31" s="1"/>
      <c r="AS31" s="1"/>
      <c r="AT31" s="1"/>
      <c r="AU31" s="1"/>
      <c r="AV31" s="1"/>
    </row>
    <row r="32" spans="1:48" x14ac:dyDescent="0.25">
      <c r="B32" s="75">
        <v>45432</v>
      </c>
      <c r="C32" s="1" t="s">
        <v>57</v>
      </c>
      <c r="D32" s="76">
        <v>20.67</v>
      </c>
      <c r="E32" s="77">
        <v>-0.03</v>
      </c>
      <c r="F32" s="1" t="s">
        <v>103</v>
      </c>
      <c r="G32" s="76">
        <v>4.5999999999999996</v>
      </c>
      <c r="H32" s="78">
        <v>5000</v>
      </c>
      <c r="I32" s="1" t="s">
        <v>104</v>
      </c>
      <c r="J32" s="1">
        <f t="shared" si="0"/>
        <v>32</v>
      </c>
      <c r="K32" s="93" cm="1">
        <f t="array" ref="K32">ImpliedVolatility_kris("c",D32,$J$3,J32/365,$J$4,$J$4,G32,0.01)</f>
        <v>2.1129800913717882</v>
      </c>
      <c r="AJ32" s="76" cm="1">
        <f t="array" ref="AJ32">GBlackScholes("c",D32,$J$3,J32/365,$J$4,$J$4,AK32)</f>
        <v>3.7998139102478805</v>
      </c>
      <c r="AK32" s="93">
        <v>1.78</v>
      </c>
      <c r="AL32" s="1" t="str">
        <f t="shared" si="1"/>
        <v>higher</v>
      </c>
    </row>
    <row r="33" spans="12:14" x14ac:dyDescent="0.25">
      <c r="N33" s="93"/>
    </row>
    <row r="39" spans="12:14" x14ac:dyDescent="0.25">
      <c r="L39" s="76"/>
    </row>
    <row r="49" spans="12:12" x14ac:dyDescent="0.25">
      <c r="L49" s="1" cm="1">
        <f t="array" ref="L49">Vega_kris(100,100,1,0,0,0.5)</f>
        <v>38.66681168028493</v>
      </c>
    </row>
  </sheetData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3E6108-3DEA-475D-B1B5-84284639B4CD}">
  <sheetPr codeName="Sheet3"/>
  <dimension ref="A1:BF102"/>
  <sheetViews>
    <sheetView showGridLines="0" tabSelected="1" topLeftCell="I1" zoomScaleNormal="100" workbookViewId="0">
      <selection activeCell="S3" sqref="S3"/>
    </sheetView>
  </sheetViews>
  <sheetFormatPr defaultRowHeight="13.5" x14ac:dyDescent="0.25"/>
  <cols>
    <col min="1" max="1" width="9.140625" style="105"/>
    <col min="2" max="2" width="9.140625" style="105" customWidth="1"/>
    <col min="3" max="3" width="11.42578125" style="105" bestFit="1" customWidth="1"/>
    <col min="4" max="4" width="5.5703125" style="105" bestFit="1" customWidth="1"/>
    <col min="5" max="6" width="6.85546875" style="105" bestFit="1" customWidth="1"/>
    <col min="7" max="7" width="16" style="105" bestFit="1" customWidth="1"/>
    <col min="8" max="8" width="6.85546875" style="105" bestFit="1" customWidth="1"/>
    <col min="9" max="9" width="10.7109375" style="105" bestFit="1" customWidth="1"/>
    <col min="10" max="10" width="9" style="105" bestFit="1" customWidth="1"/>
    <col min="11" max="11" width="4.5703125" style="105" bestFit="1" customWidth="1"/>
    <col min="12" max="12" width="5.7109375" style="105" bestFit="1" customWidth="1"/>
    <col min="13" max="13" width="12.28515625" style="105" bestFit="1" customWidth="1"/>
    <col min="14" max="14" width="11.42578125" style="105" bestFit="1" customWidth="1"/>
    <col min="15" max="15" width="5.5703125" style="105" bestFit="1" customWidth="1"/>
    <col min="16" max="17" width="6.85546875" style="105" bestFit="1" customWidth="1"/>
    <col min="18" max="18" width="16" style="105" bestFit="1" customWidth="1"/>
    <col min="19" max="20" width="6.85546875" style="105" bestFit="1" customWidth="1"/>
    <col min="21" max="21" width="9" style="105" bestFit="1" customWidth="1"/>
    <col min="22" max="22" width="4.5703125" style="105" bestFit="1" customWidth="1"/>
    <col min="23" max="23" width="5.7109375" style="105" bestFit="1" customWidth="1"/>
    <col min="24" max="24" width="16" style="105" bestFit="1" customWidth="1"/>
    <col min="25" max="25" width="11.42578125" style="105" bestFit="1" customWidth="1"/>
    <col min="26" max="26" width="17.28515625" style="105" bestFit="1" customWidth="1"/>
    <col min="27" max="27" width="6.85546875" style="105" bestFit="1" customWidth="1"/>
    <col min="28" max="28" width="22.140625" style="105" bestFit="1" customWidth="1"/>
    <col min="29" max="29" width="16" style="105" bestFit="1" customWidth="1"/>
    <col min="30" max="31" width="6.85546875" style="105" bestFit="1" customWidth="1"/>
    <col min="32" max="32" width="9" style="105" bestFit="1" customWidth="1"/>
    <col min="33" max="33" width="6" style="105" customWidth="1"/>
    <col min="34" max="34" width="8.85546875" style="105" customWidth="1"/>
    <col min="35" max="45" width="9.140625" style="105"/>
    <col min="46" max="47" width="9.7109375" style="105" bestFit="1" customWidth="1"/>
    <col min="48" max="16384" width="9.140625" style="105"/>
  </cols>
  <sheetData>
    <row r="1" spans="1:58" ht="14.25" thickBot="1" x14ac:dyDescent="0.3">
      <c r="AB1" s="106" t="s">
        <v>135</v>
      </c>
      <c r="AL1" s="106" t="s">
        <v>136</v>
      </c>
    </row>
    <row r="2" spans="1:58" x14ac:dyDescent="0.25">
      <c r="B2" s="267" t="s">
        <v>40</v>
      </c>
      <c r="C2" s="268">
        <v>45464</v>
      </c>
      <c r="Z2" s="143" t="s">
        <v>132</v>
      </c>
      <c r="AA2" s="143"/>
      <c r="AB2" s="188" t="s">
        <v>119</v>
      </c>
      <c r="AC2" s="189"/>
      <c r="AL2" s="105" t="s">
        <v>118</v>
      </c>
      <c r="AM2" s="111" t="s">
        <v>111</v>
      </c>
      <c r="AN2" s="111" t="s">
        <v>112</v>
      </c>
      <c r="AO2" s="111" t="s">
        <v>113</v>
      </c>
      <c r="AP2" s="111" t="s">
        <v>53</v>
      </c>
      <c r="AQ2" s="111" t="s">
        <v>114</v>
      </c>
      <c r="AR2" s="111" t="s">
        <v>115</v>
      </c>
      <c r="AS2" s="111" t="s">
        <v>116</v>
      </c>
      <c r="AT2" s="111" t="s">
        <v>115</v>
      </c>
      <c r="AU2" s="111" t="s">
        <v>20</v>
      </c>
      <c r="AV2" s="111" t="s">
        <v>7</v>
      </c>
    </row>
    <row r="3" spans="1:58" x14ac:dyDescent="0.25">
      <c r="B3" s="269" t="s">
        <v>0</v>
      </c>
      <c r="C3" s="270">
        <v>20</v>
      </c>
      <c r="Z3" s="143"/>
      <c r="AA3" s="143"/>
      <c r="AB3" s="107" t="s">
        <v>118</v>
      </c>
      <c r="AC3" s="108" t="s">
        <v>120</v>
      </c>
    </row>
    <row r="4" spans="1:58" x14ac:dyDescent="0.25">
      <c r="B4" s="271" t="s">
        <v>24</v>
      </c>
      <c r="C4" s="272">
        <v>0</v>
      </c>
      <c r="AB4" s="109" t="s">
        <v>121</v>
      </c>
      <c r="AC4" s="110" t="s">
        <v>122</v>
      </c>
      <c r="AL4" s="105" t="s">
        <v>137</v>
      </c>
      <c r="AM4" s="145" t="s">
        <v>111</v>
      </c>
      <c r="AN4" s="145" t="s">
        <v>112</v>
      </c>
      <c r="AO4" s="145" t="s">
        <v>113</v>
      </c>
      <c r="AP4" s="145" t="s">
        <v>53</v>
      </c>
      <c r="AQ4" s="145" t="s">
        <v>114</v>
      </c>
      <c r="AR4" s="145" t="s">
        <v>115</v>
      </c>
      <c r="AS4" s="145" t="s">
        <v>116</v>
      </c>
      <c r="AT4" s="145" t="s">
        <v>115</v>
      </c>
      <c r="AU4" s="145" t="s">
        <v>20</v>
      </c>
      <c r="AV4" s="145" t="s">
        <v>7</v>
      </c>
    </row>
    <row r="5" spans="1:58" ht="14.25" thickBot="1" x14ac:dyDescent="0.3">
      <c r="G5" s="104"/>
      <c r="Z5" s="144" t="s">
        <v>133</v>
      </c>
      <c r="AA5" s="144"/>
      <c r="AB5" s="113" t="s">
        <v>123</v>
      </c>
      <c r="AC5" s="114" t="s">
        <v>124</v>
      </c>
    </row>
    <row r="6" spans="1:58" x14ac:dyDescent="0.25">
      <c r="C6" s="111" t="s">
        <v>111</v>
      </c>
      <c r="D6" s="111" t="s">
        <v>112</v>
      </c>
      <c r="E6" s="111" t="s">
        <v>113</v>
      </c>
      <c r="F6" s="111" t="s">
        <v>53</v>
      </c>
      <c r="G6" s="111" t="s">
        <v>114</v>
      </c>
      <c r="H6" s="111" t="s">
        <v>134</v>
      </c>
      <c r="I6" s="111" t="s">
        <v>116</v>
      </c>
      <c r="J6" s="111" t="s">
        <v>115</v>
      </c>
      <c r="K6" s="111" t="s">
        <v>20</v>
      </c>
      <c r="L6" s="111" t="s">
        <v>7</v>
      </c>
      <c r="N6" s="112" t="s">
        <v>111</v>
      </c>
      <c r="O6" s="112" t="s">
        <v>112</v>
      </c>
      <c r="P6" s="112" t="s">
        <v>113</v>
      </c>
      <c r="Q6" s="112" t="s">
        <v>53</v>
      </c>
      <c r="R6" s="112" t="s">
        <v>114</v>
      </c>
      <c r="S6" s="112" t="s">
        <v>134</v>
      </c>
      <c r="T6" s="112" t="s">
        <v>116</v>
      </c>
      <c r="U6" s="112" t="s">
        <v>115</v>
      </c>
      <c r="V6" s="112" t="s">
        <v>20</v>
      </c>
      <c r="W6" s="112" t="s">
        <v>7</v>
      </c>
      <c r="Z6" s="144"/>
      <c r="AA6" s="144"/>
      <c r="AB6" s="190" t="s">
        <v>125</v>
      </c>
      <c r="AC6" s="191"/>
      <c r="AL6" s="105" t="s">
        <v>138</v>
      </c>
      <c r="AM6" s="146" t="s">
        <v>111</v>
      </c>
      <c r="AN6" s="146" t="s">
        <v>112</v>
      </c>
      <c r="AO6" s="146" t="s">
        <v>113</v>
      </c>
      <c r="AP6" s="146" t="s">
        <v>53</v>
      </c>
      <c r="AQ6" s="146" t="s">
        <v>114</v>
      </c>
      <c r="AR6" s="146" t="s">
        <v>134</v>
      </c>
      <c r="AS6" s="146" t="s">
        <v>116</v>
      </c>
      <c r="AT6" s="146" t="s">
        <v>115</v>
      </c>
      <c r="AU6" s="146" t="s">
        <v>20</v>
      </c>
      <c r="AV6" s="146" t="s">
        <v>7</v>
      </c>
    </row>
    <row r="7" spans="1:58" x14ac:dyDescent="0.25">
      <c r="C7" s="230">
        <v>45443</v>
      </c>
      <c r="D7" s="231" t="s">
        <v>57</v>
      </c>
      <c r="E7" s="232">
        <v>23.24</v>
      </c>
      <c r="F7" s="233">
        <v>-0.14000000000000001</v>
      </c>
      <c r="G7" s="231" t="s">
        <v>58</v>
      </c>
      <c r="H7" s="232">
        <v>5.6</v>
      </c>
      <c r="I7" s="234">
        <v>5000</v>
      </c>
      <c r="J7" s="231" t="s">
        <v>59</v>
      </c>
      <c r="K7" s="231">
        <f>$C$2-C7</f>
        <v>21</v>
      </c>
      <c r="L7" s="235" cm="1">
        <f t="array" ref="L7">ImpliedVolatility_kris("c",E7,$C$3,K7/365,$C$4,$C$4,H7,0.01)</f>
        <v>1.8355586626678784</v>
      </c>
      <c r="N7" s="115">
        <v>45443</v>
      </c>
      <c r="O7" s="116" t="s">
        <v>57</v>
      </c>
      <c r="P7" s="117">
        <v>23.24</v>
      </c>
      <c r="Q7" s="118">
        <v>-0.14000000000000001</v>
      </c>
      <c r="R7" s="116" t="s">
        <v>58</v>
      </c>
      <c r="S7" s="117">
        <v>5.6</v>
      </c>
      <c r="T7" s="119">
        <v>5000</v>
      </c>
      <c r="U7" s="116" t="s">
        <v>59</v>
      </c>
      <c r="V7" s="116">
        <f>$C$2-N7</f>
        <v>21</v>
      </c>
      <c r="W7" s="120" cm="1">
        <f t="array" ref="W7">ImpliedVolatility_kris("c",P7,$C$3,V7/365,$C$4,$C$4,S7,0.01)</f>
        <v>1.8355586626678784</v>
      </c>
      <c r="AB7" s="130" t="s">
        <v>126</v>
      </c>
      <c r="AC7" s="131" t="s">
        <v>127</v>
      </c>
    </row>
    <row r="8" spans="1:58" s="129" customFormat="1" x14ac:dyDescent="0.25">
      <c r="A8" s="248"/>
      <c r="B8" s="105"/>
      <c r="C8" s="236">
        <v>45442</v>
      </c>
      <c r="D8" s="237" t="s">
        <v>57</v>
      </c>
      <c r="E8" s="238">
        <v>22.59</v>
      </c>
      <c r="F8" s="239">
        <v>-0.11</v>
      </c>
      <c r="G8" s="237" t="s">
        <v>117</v>
      </c>
      <c r="H8" s="238">
        <v>5.2</v>
      </c>
      <c r="I8" s="240">
        <v>5000</v>
      </c>
      <c r="J8" s="237" t="s">
        <v>61</v>
      </c>
      <c r="K8" s="237">
        <f>$C$2-C8</f>
        <v>22</v>
      </c>
      <c r="L8" s="241" cm="1">
        <f t="array" ref="L8">ImpliedVolatility_kris("c",E8,$C$3,K8/365,$C$4,$C$4,H8,0.01)</f>
        <v>1.8205553858283039</v>
      </c>
      <c r="M8" s="105"/>
      <c r="N8" s="123">
        <v>45442</v>
      </c>
      <c r="O8" s="124" t="s">
        <v>57</v>
      </c>
      <c r="P8" s="125">
        <v>22.59</v>
      </c>
      <c r="Q8" s="126">
        <v>-0.11</v>
      </c>
      <c r="R8" s="124" t="s">
        <v>117</v>
      </c>
      <c r="S8" s="125">
        <v>5.2</v>
      </c>
      <c r="T8" s="127">
        <v>5000</v>
      </c>
      <c r="U8" s="124" t="s">
        <v>61</v>
      </c>
      <c r="V8" s="124">
        <f>$C$2-N8</f>
        <v>22</v>
      </c>
      <c r="W8" s="128" cm="1">
        <f t="array" ref="W8">ImpliedVolatility_kris("c",P8,$C$3,V8/365,$C$4,$C$4,S8,0.01)</f>
        <v>1.8205553858283039</v>
      </c>
      <c r="X8" s="105"/>
      <c r="Y8" s="105"/>
      <c r="Z8" s="210" t="s">
        <v>139</v>
      </c>
      <c r="AA8" s="210"/>
      <c r="AB8" s="138" t="s">
        <v>128</v>
      </c>
      <c r="AC8" s="139" t="s">
        <v>129</v>
      </c>
      <c r="AD8" s="105"/>
      <c r="AE8" s="105"/>
      <c r="AF8" s="105"/>
      <c r="AG8" s="105"/>
      <c r="AH8" s="105"/>
      <c r="AI8" s="105"/>
      <c r="AJ8" s="105"/>
      <c r="AK8" s="105"/>
      <c r="AL8" s="105" t="s">
        <v>137</v>
      </c>
      <c r="AM8" s="147" t="s">
        <v>111</v>
      </c>
      <c r="AN8" s="147" t="s">
        <v>112</v>
      </c>
      <c r="AO8" s="147" t="s">
        <v>113</v>
      </c>
      <c r="AP8" s="147" t="s">
        <v>53</v>
      </c>
      <c r="AQ8" s="147" t="s">
        <v>114</v>
      </c>
      <c r="AR8" s="147" t="s">
        <v>134</v>
      </c>
      <c r="AS8" s="147" t="s">
        <v>116</v>
      </c>
      <c r="AT8" s="147" t="s">
        <v>115</v>
      </c>
      <c r="AU8" s="147" t="s">
        <v>20</v>
      </c>
      <c r="AV8" s="147" t="s">
        <v>7</v>
      </c>
      <c r="AW8" s="105"/>
      <c r="AX8" s="105"/>
      <c r="AY8" s="105"/>
      <c r="AZ8" s="105"/>
      <c r="BA8" s="105"/>
      <c r="BB8" s="105"/>
      <c r="BC8" s="105"/>
      <c r="BD8" s="105"/>
      <c r="BE8" s="105"/>
      <c r="BF8" s="105"/>
    </row>
    <row r="9" spans="1:58" s="129" customFormat="1" ht="14.25" thickBot="1" x14ac:dyDescent="0.3">
      <c r="A9" s="248"/>
      <c r="B9" s="105"/>
      <c r="C9" s="236">
        <v>45441</v>
      </c>
      <c r="D9" s="237" t="s">
        <v>62</v>
      </c>
      <c r="E9" s="238">
        <v>22.2</v>
      </c>
      <c r="F9" s="239">
        <v>-0.1</v>
      </c>
      <c r="G9" s="237" t="s">
        <v>63</v>
      </c>
      <c r="H9" s="238">
        <v>5.5</v>
      </c>
      <c r="I9" s="240">
        <v>5000</v>
      </c>
      <c r="J9" s="237" t="s">
        <v>64</v>
      </c>
      <c r="K9" s="237">
        <f>$C$2-C9</f>
        <v>23</v>
      </c>
      <c r="L9" s="241" cm="1">
        <f t="array" ref="L9">ImpliedVolatility_kris("c",E9,$C$3,K9/365,$C$4,$C$4,H9,0.01)</f>
        <v>2.0624858041690799</v>
      </c>
      <c r="M9" s="105"/>
      <c r="N9" s="123">
        <v>45441</v>
      </c>
      <c r="O9" s="124" t="s">
        <v>62</v>
      </c>
      <c r="P9" s="125">
        <v>22.2</v>
      </c>
      <c r="Q9" s="126">
        <v>-0.1</v>
      </c>
      <c r="R9" s="124" t="s">
        <v>63</v>
      </c>
      <c r="S9" s="125">
        <v>5.5</v>
      </c>
      <c r="T9" s="127">
        <v>5000</v>
      </c>
      <c r="U9" s="124" t="s">
        <v>64</v>
      </c>
      <c r="V9" s="124">
        <f>$C$2-N9</f>
        <v>23</v>
      </c>
      <c r="W9" s="128" cm="1">
        <f t="array" ref="W9">ImpliedVolatility_kris("c",P9,$C$3,V9/365,$C$4,$C$4,S9,0.01)</f>
        <v>2.0624858041690799</v>
      </c>
      <c r="X9" s="105"/>
      <c r="Y9" s="105"/>
      <c r="Z9" s="210" t="s">
        <v>140</v>
      </c>
      <c r="AA9" s="210"/>
      <c r="AB9" s="141" t="s">
        <v>130</v>
      </c>
      <c r="AC9" s="142" t="s">
        <v>131</v>
      </c>
      <c r="AD9" s="105"/>
      <c r="AE9" s="105"/>
      <c r="AF9" s="105"/>
      <c r="AG9" s="105"/>
      <c r="AH9" s="105"/>
      <c r="AI9" s="105"/>
      <c r="AJ9" s="105"/>
      <c r="AK9" s="105"/>
      <c r="AL9" s="105"/>
      <c r="AM9" s="105"/>
      <c r="AN9" s="105"/>
      <c r="AO9" s="105"/>
      <c r="AP9" s="105"/>
      <c r="AQ9" s="105"/>
      <c r="AR9" s="105"/>
      <c r="AS9" s="105"/>
      <c r="AT9" s="105"/>
      <c r="AU9" s="105"/>
      <c r="AV9" s="105"/>
      <c r="AW9" s="105"/>
      <c r="AX9" s="105"/>
      <c r="AY9" s="105"/>
      <c r="AZ9" s="105"/>
      <c r="BA9" s="105"/>
      <c r="BB9" s="105"/>
      <c r="BC9" s="105"/>
      <c r="BD9" s="105"/>
      <c r="BE9" s="105"/>
      <c r="BF9" s="105"/>
    </row>
    <row r="10" spans="1:58" s="140" customFormat="1" x14ac:dyDescent="0.25">
      <c r="A10" s="248"/>
      <c r="B10" s="105"/>
      <c r="C10" s="242">
        <v>45440</v>
      </c>
      <c r="D10" s="243" t="s">
        <v>57</v>
      </c>
      <c r="E10" s="244">
        <v>23.34</v>
      </c>
      <c r="F10" s="245">
        <v>-0.14000000000000001</v>
      </c>
      <c r="G10" s="243" t="s">
        <v>65</v>
      </c>
      <c r="H10" s="244">
        <v>6.5</v>
      </c>
      <c r="I10" s="246">
        <v>5000</v>
      </c>
      <c r="J10" s="243" t="s">
        <v>66</v>
      </c>
      <c r="K10" s="243">
        <f>$C$2-C10</f>
        <v>24</v>
      </c>
      <c r="L10" s="247" cm="1">
        <f t="array" ref="L10">ImpliedVolatility_kris("c",E10,$C$3,K10/365,$C$4,$C$4,H10,0.01)</f>
        <v>2.1231783154050166</v>
      </c>
      <c r="M10" s="105"/>
      <c r="N10" s="132">
        <v>45440</v>
      </c>
      <c r="O10" s="133" t="s">
        <v>57</v>
      </c>
      <c r="P10" s="134">
        <v>23.34</v>
      </c>
      <c r="Q10" s="135">
        <v>-0.14000000000000001</v>
      </c>
      <c r="R10" s="133" t="s">
        <v>65</v>
      </c>
      <c r="S10" s="134">
        <v>6.5</v>
      </c>
      <c r="T10" s="136">
        <v>5000</v>
      </c>
      <c r="U10" s="133" t="s">
        <v>66</v>
      </c>
      <c r="V10" s="133">
        <f>$C$2-N10</f>
        <v>24</v>
      </c>
      <c r="W10" s="137" cm="1">
        <f t="array" ref="W10">ImpliedVolatility_kris("c",P10,$C$3,V10/365,$C$4,$C$4,S10,0.01)</f>
        <v>2.1231783154050166</v>
      </c>
      <c r="X10" s="105"/>
      <c r="Y10" s="105"/>
      <c r="Z10" s="105"/>
      <c r="AA10" s="105"/>
      <c r="AD10" s="105"/>
      <c r="AE10" s="105"/>
      <c r="AF10" s="105"/>
      <c r="AG10" s="105"/>
      <c r="AH10" s="105"/>
      <c r="AI10" s="105"/>
      <c r="AJ10" s="105"/>
      <c r="AK10" s="105"/>
      <c r="AL10" s="105" t="s">
        <v>118</v>
      </c>
      <c r="AM10" s="148" t="s">
        <v>111</v>
      </c>
      <c r="AN10" s="148" t="s">
        <v>112</v>
      </c>
      <c r="AO10" s="148" t="s">
        <v>113</v>
      </c>
      <c r="AP10" s="148" t="s">
        <v>53</v>
      </c>
      <c r="AQ10" s="148" t="s">
        <v>114</v>
      </c>
      <c r="AR10" s="148" t="s">
        <v>134</v>
      </c>
      <c r="AS10" s="148" t="s">
        <v>116</v>
      </c>
      <c r="AT10" s="148" t="s">
        <v>115</v>
      </c>
      <c r="AU10" s="148" t="s">
        <v>20</v>
      </c>
      <c r="AV10" s="148" t="s">
        <v>7</v>
      </c>
      <c r="AW10" s="105"/>
      <c r="AX10" s="105"/>
      <c r="AY10" s="105"/>
      <c r="AZ10" s="105"/>
      <c r="BA10" s="105"/>
      <c r="BB10" s="105"/>
      <c r="BC10" s="105"/>
      <c r="BD10" s="105"/>
      <c r="BE10" s="105"/>
      <c r="BF10" s="105"/>
    </row>
    <row r="11" spans="1:58" x14ac:dyDescent="0.25">
      <c r="C11" s="230">
        <v>45440</v>
      </c>
      <c r="D11" s="231" t="s">
        <v>57</v>
      </c>
      <c r="E11" s="232">
        <v>25.47</v>
      </c>
      <c r="F11" s="233">
        <v>-0.21</v>
      </c>
      <c r="G11" s="231" t="s">
        <v>67</v>
      </c>
      <c r="H11" s="232">
        <v>8.25</v>
      </c>
      <c r="I11" s="234">
        <v>5000</v>
      </c>
      <c r="J11" s="231" t="s">
        <v>68</v>
      </c>
      <c r="K11" s="231">
        <f>$C$2-C11</f>
        <v>24</v>
      </c>
      <c r="L11" s="235" cm="1">
        <f t="array" ref="L11">ImpliedVolatility_kris("c",E11,$C$3,K11/365,$C$4,$C$4,H11,0.01)</f>
        <v>2.2084306848797413</v>
      </c>
      <c r="N11" s="115">
        <v>45440</v>
      </c>
      <c r="O11" s="116" t="s">
        <v>57</v>
      </c>
      <c r="P11" s="117">
        <v>25.47</v>
      </c>
      <c r="Q11" s="118">
        <v>-0.21</v>
      </c>
      <c r="R11" s="116" t="s">
        <v>67</v>
      </c>
      <c r="S11" s="117">
        <v>8.25</v>
      </c>
      <c r="T11" s="119">
        <v>5000</v>
      </c>
      <c r="U11" s="116" t="s">
        <v>68</v>
      </c>
      <c r="V11" s="116">
        <f>$C$2-N11</f>
        <v>24</v>
      </c>
      <c r="W11" s="120" cm="1">
        <f t="array" ref="W11">ImpliedVolatility_kris("c",P11,$C$3,V11/365,$C$4,$C$4,S11,0.01)</f>
        <v>2.2084306848797413</v>
      </c>
    </row>
    <row r="12" spans="1:58" s="140" customFormat="1" x14ac:dyDescent="0.25">
      <c r="A12" s="248"/>
      <c r="B12" s="105"/>
      <c r="C12" s="242">
        <v>45436</v>
      </c>
      <c r="D12" s="243" t="s">
        <v>69</v>
      </c>
      <c r="E12" s="244">
        <v>18.18</v>
      </c>
      <c r="F12" s="245">
        <v>0.1</v>
      </c>
      <c r="G12" s="243" t="s">
        <v>70</v>
      </c>
      <c r="H12" s="244">
        <v>3.5</v>
      </c>
      <c r="I12" s="246">
        <v>5000</v>
      </c>
      <c r="J12" s="243" t="s">
        <v>71</v>
      </c>
      <c r="K12" s="243">
        <f>$C$2-C12</f>
        <v>28</v>
      </c>
      <c r="L12" s="247" cm="1">
        <f t="array" ref="L12">ImpliedVolatility_kris("c",E12,$C$3,K12/365,$C$4,$C$4,H12,0.01)</f>
        <v>2.0911133210114601</v>
      </c>
      <c r="M12" s="105"/>
      <c r="N12" s="132">
        <v>45436</v>
      </c>
      <c r="O12" s="133" t="s">
        <v>69</v>
      </c>
      <c r="P12" s="134">
        <v>18.18</v>
      </c>
      <c r="Q12" s="135">
        <v>0.1</v>
      </c>
      <c r="R12" s="133" t="s">
        <v>70</v>
      </c>
      <c r="S12" s="134">
        <v>3.5</v>
      </c>
      <c r="T12" s="136">
        <v>5000</v>
      </c>
      <c r="U12" s="133" t="s">
        <v>71</v>
      </c>
      <c r="V12" s="133">
        <f>$C$2-N12</f>
        <v>28</v>
      </c>
      <c r="W12" s="137" cm="1">
        <f t="array" ref="W12">ImpliedVolatility_kris("c",P12,$C$3,V12/365,$C$4,$C$4,S12,0.01)</f>
        <v>2.0911133210114601</v>
      </c>
      <c r="X12" s="105"/>
      <c r="Y12" s="105"/>
      <c r="Z12" s="105"/>
      <c r="AA12" s="105"/>
      <c r="AB12" s="105"/>
      <c r="AC12" s="105"/>
      <c r="AD12" s="105"/>
      <c r="AE12" s="105"/>
      <c r="AF12" s="105"/>
      <c r="AG12" s="105"/>
      <c r="AH12" s="105"/>
      <c r="AI12" s="105"/>
      <c r="AJ12" s="105"/>
      <c r="AK12" s="105"/>
      <c r="AL12" s="105" t="s">
        <v>126</v>
      </c>
      <c r="AM12" s="149" t="s">
        <v>111</v>
      </c>
      <c r="AN12" s="149" t="s">
        <v>112</v>
      </c>
      <c r="AO12" s="149" t="s">
        <v>113</v>
      </c>
      <c r="AP12" s="149" t="s">
        <v>53</v>
      </c>
      <c r="AQ12" s="149" t="s">
        <v>114</v>
      </c>
      <c r="AR12" s="149" t="s">
        <v>134</v>
      </c>
      <c r="AS12" s="149" t="s">
        <v>116</v>
      </c>
      <c r="AT12" s="149" t="s">
        <v>115</v>
      </c>
      <c r="AU12" s="149" t="s">
        <v>20</v>
      </c>
      <c r="AV12" s="149" t="s">
        <v>7</v>
      </c>
      <c r="AW12" s="105"/>
      <c r="AX12" s="105"/>
      <c r="AY12" s="105"/>
      <c r="AZ12" s="105"/>
      <c r="BA12" s="105"/>
      <c r="BB12" s="105"/>
      <c r="BC12" s="105"/>
      <c r="BD12" s="105"/>
      <c r="BE12" s="105"/>
      <c r="BF12" s="105"/>
    </row>
    <row r="13" spans="1:58" ht="13.5" customHeight="1" x14ac:dyDescent="0.25">
      <c r="C13" s="230">
        <v>45436</v>
      </c>
      <c r="D13" s="231" t="s">
        <v>57</v>
      </c>
      <c r="E13" s="232">
        <v>18.260000000000002</v>
      </c>
      <c r="F13" s="233">
        <v>0.1</v>
      </c>
      <c r="G13" s="231" t="s">
        <v>72</v>
      </c>
      <c r="H13" s="232">
        <v>3.35</v>
      </c>
      <c r="I13" s="234">
        <v>5000</v>
      </c>
      <c r="J13" s="231" t="s">
        <v>73</v>
      </c>
      <c r="K13" s="231">
        <f>$C$2-C13</f>
        <v>28</v>
      </c>
      <c r="L13" s="235" cm="1">
        <f t="array" ref="L13">ImpliedVolatility_kris("c",E13,$C$3,K13/365,$C$4,$C$4,H13,0.01)</f>
        <v>1.9947097477998832</v>
      </c>
      <c r="N13" s="115">
        <v>45436</v>
      </c>
      <c r="O13" s="116" t="s">
        <v>57</v>
      </c>
      <c r="P13" s="117">
        <v>18.260000000000002</v>
      </c>
      <c r="Q13" s="118">
        <v>0.1</v>
      </c>
      <c r="R13" s="116" t="s">
        <v>72</v>
      </c>
      <c r="S13" s="117">
        <v>3.35</v>
      </c>
      <c r="T13" s="119">
        <v>5000</v>
      </c>
      <c r="U13" s="116" t="s">
        <v>73</v>
      </c>
      <c r="V13" s="116">
        <f>$C$2-N13</f>
        <v>28</v>
      </c>
      <c r="W13" s="120" cm="1">
        <f t="array" ref="W13">ImpliedVolatility_kris("c",P13,$C$3,V13/365,$C$4,$C$4,S13,0.01)</f>
        <v>1.9947097477998832</v>
      </c>
    </row>
    <row r="14" spans="1:58" s="140" customFormat="1" x14ac:dyDescent="0.25">
      <c r="A14" s="248"/>
      <c r="B14" s="105"/>
      <c r="C14" s="242">
        <v>45434</v>
      </c>
      <c r="D14" s="243" t="s">
        <v>57</v>
      </c>
      <c r="E14" s="244">
        <v>21.62</v>
      </c>
      <c r="F14" s="245">
        <v>-7.0000000000000007E-2</v>
      </c>
      <c r="G14" s="243" t="s">
        <v>74</v>
      </c>
      <c r="H14" s="244">
        <v>6.75</v>
      </c>
      <c r="I14" s="246">
        <v>5000</v>
      </c>
      <c r="J14" s="243" t="s">
        <v>75</v>
      </c>
      <c r="K14" s="243">
        <f>$C$2-C14</f>
        <v>30</v>
      </c>
      <c r="L14" s="247" cm="1">
        <f t="array" ref="L14">ImpliedVolatility_kris("c",E14,$C$3,K14/365,$C$4,$C$4,H14,0.01)</f>
        <v>2.5358839671580538</v>
      </c>
      <c r="M14" s="105"/>
      <c r="N14" s="132">
        <v>45434</v>
      </c>
      <c r="O14" s="133" t="s">
        <v>57</v>
      </c>
      <c r="P14" s="134">
        <v>21.62</v>
      </c>
      <c r="Q14" s="135">
        <v>-7.0000000000000007E-2</v>
      </c>
      <c r="R14" s="133" t="s">
        <v>74</v>
      </c>
      <c r="S14" s="134">
        <v>6.75</v>
      </c>
      <c r="T14" s="136">
        <v>5000</v>
      </c>
      <c r="U14" s="133" t="s">
        <v>75</v>
      </c>
      <c r="V14" s="133">
        <f>$C$2-N14</f>
        <v>30</v>
      </c>
      <c r="W14" s="137" cm="1">
        <f t="array" ref="W14">ImpliedVolatility_kris("c",P14,$C$3,V14/365,$C$4,$C$4,S14,0.01)</f>
        <v>2.5358839671580538</v>
      </c>
      <c r="X14" s="105"/>
      <c r="Y14" s="105"/>
      <c r="Z14" s="248"/>
      <c r="AA14" s="248"/>
      <c r="AB14" s="248"/>
      <c r="AC14" s="248"/>
      <c r="AD14" s="248"/>
      <c r="AE14" s="248"/>
      <c r="AF14" s="248"/>
      <c r="AG14" s="248"/>
      <c r="AH14" s="248"/>
      <c r="AI14" s="248"/>
      <c r="AJ14" s="248"/>
      <c r="AK14" s="248"/>
      <c r="AL14" s="105" t="s">
        <v>121</v>
      </c>
      <c r="AM14" s="112" t="s">
        <v>111</v>
      </c>
      <c r="AN14" s="112" t="s">
        <v>112</v>
      </c>
      <c r="AO14" s="112" t="s">
        <v>113</v>
      </c>
      <c r="AP14" s="112" t="s">
        <v>53</v>
      </c>
      <c r="AQ14" s="112" t="s">
        <v>114</v>
      </c>
      <c r="AR14" s="112" t="s">
        <v>115</v>
      </c>
      <c r="AS14" s="112" t="s">
        <v>116</v>
      </c>
      <c r="AT14" s="112" t="s">
        <v>115</v>
      </c>
      <c r="AU14" s="112" t="s">
        <v>20</v>
      </c>
      <c r="AV14" s="112" t="s">
        <v>7</v>
      </c>
      <c r="AW14" s="105"/>
      <c r="AX14" s="105"/>
      <c r="AY14" s="105"/>
      <c r="AZ14" s="105"/>
      <c r="BA14" s="105"/>
      <c r="BB14" s="105"/>
      <c r="BC14" s="105"/>
      <c r="BD14" s="105"/>
      <c r="BE14" s="105"/>
      <c r="BF14" s="105"/>
    </row>
    <row r="15" spans="1:58" x14ac:dyDescent="0.25">
      <c r="C15" s="230">
        <v>45434</v>
      </c>
      <c r="D15" s="231" t="s">
        <v>62</v>
      </c>
      <c r="E15" s="232">
        <v>22.01</v>
      </c>
      <c r="F15" s="233">
        <v>-0.09</v>
      </c>
      <c r="G15" s="231" t="s">
        <v>76</v>
      </c>
      <c r="H15" s="232">
        <v>7.25</v>
      </c>
      <c r="I15" s="234">
        <v>1462</v>
      </c>
      <c r="J15" s="231" t="s">
        <v>77</v>
      </c>
      <c r="K15" s="231">
        <f>$C$2-C15</f>
        <v>30</v>
      </c>
      <c r="L15" s="235" cm="1">
        <f t="array" ref="L15">ImpliedVolatility_kris("c",E15,$C$3,K15/365,$C$4,$C$4,H15,0.01)</f>
        <v>2.6381330947311623</v>
      </c>
      <c r="N15" s="115">
        <v>45434</v>
      </c>
      <c r="O15" s="116" t="s">
        <v>62</v>
      </c>
      <c r="P15" s="117">
        <v>22.01</v>
      </c>
      <c r="Q15" s="118">
        <v>-0.09</v>
      </c>
      <c r="R15" s="116" t="s">
        <v>76</v>
      </c>
      <c r="S15" s="117">
        <v>7.25</v>
      </c>
      <c r="T15" s="119">
        <v>1462</v>
      </c>
      <c r="U15" s="116" t="s">
        <v>77</v>
      </c>
      <c r="V15" s="116">
        <f>$C$2-N15</f>
        <v>30</v>
      </c>
      <c r="W15" s="120" cm="1">
        <f t="array" ref="W15">ImpliedVolatility_kris("c",P15,$C$3,V15/365,$C$4,$C$4,S15,0.01)</f>
        <v>2.6381330947311623</v>
      </c>
      <c r="Z15" s="248"/>
      <c r="AA15" s="248"/>
      <c r="AB15" s="248"/>
      <c r="AC15" s="248"/>
      <c r="AD15" s="248"/>
      <c r="AE15" s="248"/>
      <c r="AF15" s="248"/>
      <c r="AG15" s="248"/>
      <c r="AH15" s="248"/>
      <c r="AI15" s="248"/>
      <c r="AJ15" s="248"/>
      <c r="AK15" s="248"/>
      <c r="AT15" s="121"/>
      <c r="AU15" s="122"/>
    </row>
    <row r="16" spans="1:58" x14ac:dyDescent="0.25">
      <c r="C16" s="230">
        <v>45434</v>
      </c>
      <c r="D16" s="231" t="s">
        <v>57</v>
      </c>
      <c r="E16" s="232">
        <v>21.91</v>
      </c>
      <c r="F16" s="233">
        <v>-0.09</v>
      </c>
      <c r="G16" s="231" t="s">
        <v>78</v>
      </c>
      <c r="H16" s="232">
        <v>7.05</v>
      </c>
      <c r="I16" s="234">
        <v>5000</v>
      </c>
      <c r="J16" s="231" t="s">
        <v>79</v>
      </c>
      <c r="K16" s="231">
        <f>$C$2-C16</f>
        <v>30</v>
      </c>
      <c r="L16" s="235" cm="1">
        <f t="array" ref="L16">ImpliedVolatility_kris("c",E16,$C$3,K16/365,$C$4,$C$4,H16,0.01)</f>
        <v>2.5801139107626407</v>
      </c>
      <c r="N16" s="115">
        <v>45434</v>
      </c>
      <c r="O16" s="116" t="s">
        <v>57</v>
      </c>
      <c r="P16" s="117">
        <v>21.91</v>
      </c>
      <c r="Q16" s="118">
        <v>-0.09</v>
      </c>
      <c r="R16" s="116" t="s">
        <v>78</v>
      </c>
      <c r="S16" s="117">
        <v>7.05</v>
      </c>
      <c r="T16" s="119">
        <v>5000</v>
      </c>
      <c r="U16" s="116" t="s">
        <v>79</v>
      </c>
      <c r="V16" s="116">
        <f>$C$2-N16</f>
        <v>30</v>
      </c>
      <c r="W16" s="120" cm="1">
        <f t="array" ref="W16">ImpliedVolatility_kris("c",P16,$C$3,V16/365,$C$4,$C$4,S16,0.01)</f>
        <v>2.5801139107626407</v>
      </c>
      <c r="Z16" s="248"/>
      <c r="AA16" s="248"/>
      <c r="AB16" s="248"/>
      <c r="AC16" s="248"/>
      <c r="AD16" s="248"/>
      <c r="AE16" s="248"/>
      <c r="AF16" s="248"/>
      <c r="AG16" s="248"/>
      <c r="AH16" s="248"/>
      <c r="AI16" s="248"/>
      <c r="AJ16" s="248"/>
      <c r="AK16" s="248"/>
      <c r="AT16" s="121"/>
      <c r="AU16" s="122"/>
    </row>
    <row r="17" spans="1:58" x14ac:dyDescent="0.25">
      <c r="C17" s="230">
        <v>45434</v>
      </c>
      <c r="D17" s="231" t="s">
        <v>57</v>
      </c>
      <c r="E17" s="232">
        <v>22.02</v>
      </c>
      <c r="F17" s="233">
        <v>-0.09</v>
      </c>
      <c r="G17" s="231" t="s">
        <v>80</v>
      </c>
      <c r="H17" s="232">
        <v>6.7</v>
      </c>
      <c r="I17" s="234">
        <v>5000</v>
      </c>
      <c r="J17" s="231" t="s">
        <v>81</v>
      </c>
      <c r="K17" s="231">
        <f>$C$2-C17</f>
        <v>30</v>
      </c>
      <c r="L17" s="235" cm="1">
        <f t="array" ref="L17">ImpliedVolatility_kris("c",E17,$C$3,K17/365,$C$4,$C$4,H17,0.01)</f>
        <v>2.3893449376952458</v>
      </c>
      <c r="N17" s="115">
        <v>45434</v>
      </c>
      <c r="O17" s="116" t="s">
        <v>57</v>
      </c>
      <c r="P17" s="117">
        <v>22.02</v>
      </c>
      <c r="Q17" s="118">
        <v>-0.09</v>
      </c>
      <c r="R17" s="116" t="s">
        <v>80</v>
      </c>
      <c r="S17" s="117">
        <v>6.7</v>
      </c>
      <c r="T17" s="119">
        <v>5000</v>
      </c>
      <c r="U17" s="116" t="s">
        <v>81</v>
      </c>
      <c r="V17" s="116">
        <f>$C$2-N17</f>
        <v>30</v>
      </c>
      <c r="W17" s="120" cm="1">
        <f t="array" ref="W17">ImpliedVolatility_kris("c",P17,$C$3,V17/365,$C$4,$C$4,S17,0.01)</f>
        <v>2.3893449376952458</v>
      </c>
      <c r="Z17" s="248"/>
      <c r="AA17" s="248"/>
      <c r="AB17" s="248"/>
      <c r="AC17" s="248"/>
      <c r="AD17" s="248"/>
      <c r="AE17" s="248"/>
      <c r="AF17" s="248"/>
      <c r="AG17" s="248"/>
      <c r="AH17" s="248"/>
      <c r="AI17" s="248"/>
      <c r="AJ17" s="248"/>
      <c r="AK17" s="248"/>
      <c r="AT17" s="121"/>
      <c r="AU17" s="122"/>
    </row>
    <row r="18" spans="1:58" x14ac:dyDescent="0.25">
      <c r="C18" s="230">
        <v>45434</v>
      </c>
      <c r="D18" s="231" t="s">
        <v>57</v>
      </c>
      <c r="E18" s="232">
        <v>21.63</v>
      </c>
      <c r="F18" s="233">
        <v>-0.08</v>
      </c>
      <c r="G18" s="231" t="s">
        <v>82</v>
      </c>
      <c r="H18" s="232">
        <v>6.25</v>
      </c>
      <c r="I18" s="234">
        <v>5000</v>
      </c>
      <c r="J18" s="231" t="s">
        <v>83</v>
      </c>
      <c r="K18" s="231">
        <f>$C$2-C18</f>
        <v>30</v>
      </c>
      <c r="L18" s="235" cm="1">
        <f t="array" ref="L18">ImpliedVolatility_kris("c",E18,$C$3,K18/365,$C$4,$C$4,H18,0.01)</f>
        <v>2.3084065758099475</v>
      </c>
      <c r="N18" s="115">
        <v>45434</v>
      </c>
      <c r="O18" s="116" t="s">
        <v>57</v>
      </c>
      <c r="P18" s="117">
        <v>21.63</v>
      </c>
      <c r="Q18" s="118">
        <v>-0.08</v>
      </c>
      <c r="R18" s="116" t="s">
        <v>82</v>
      </c>
      <c r="S18" s="117">
        <v>6.25</v>
      </c>
      <c r="T18" s="119">
        <v>5000</v>
      </c>
      <c r="U18" s="116" t="s">
        <v>83</v>
      </c>
      <c r="V18" s="116">
        <f>$C$2-N18</f>
        <v>30</v>
      </c>
      <c r="W18" s="120" cm="1">
        <f t="array" ref="W18">ImpliedVolatility_kris("c",P18,$C$3,V18/365,$C$4,$C$4,S18,0.01)</f>
        <v>2.3084065758099475</v>
      </c>
      <c r="Z18" s="248"/>
      <c r="AA18" s="248"/>
      <c r="AB18" s="248"/>
      <c r="AC18" s="248"/>
      <c r="AD18" s="248"/>
      <c r="AE18" s="248"/>
      <c r="AF18" s="248"/>
      <c r="AG18" s="248"/>
      <c r="AH18" s="248"/>
      <c r="AI18" s="248"/>
      <c r="AJ18" s="248"/>
      <c r="AK18" s="248"/>
      <c r="AT18" s="121"/>
      <c r="AU18" s="122"/>
    </row>
    <row r="19" spans="1:58" x14ac:dyDescent="0.25">
      <c r="C19" s="230">
        <v>45434</v>
      </c>
      <c r="D19" s="231" t="s">
        <v>57</v>
      </c>
      <c r="E19" s="232">
        <v>20</v>
      </c>
      <c r="F19" s="233">
        <v>-0.08</v>
      </c>
      <c r="G19" s="231" t="s">
        <v>84</v>
      </c>
      <c r="H19" s="232">
        <v>6.2</v>
      </c>
      <c r="I19" s="234">
        <v>5000</v>
      </c>
      <c r="J19" s="231" t="s">
        <v>85</v>
      </c>
      <c r="K19" s="231">
        <f>$C$2-C19</f>
        <v>30</v>
      </c>
      <c r="L19" s="235" cm="1">
        <f t="array" ref="L19">ImpliedVolatility_kris("c",E19,$C$3,K19/365,$C$4,$C$4,H19,0.01)</f>
        <v>2.7823505435170421</v>
      </c>
      <c r="N19" s="115">
        <v>45434</v>
      </c>
      <c r="O19" s="116" t="s">
        <v>57</v>
      </c>
      <c r="P19" s="117">
        <v>20</v>
      </c>
      <c r="Q19" s="118">
        <v>-0.08</v>
      </c>
      <c r="R19" s="116" t="s">
        <v>84</v>
      </c>
      <c r="S19" s="117">
        <v>6.2</v>
      </c>
      <c r="T19" s="119">
        <v>5000</v>
      </c>
      <c r="U19" s="116" t="s">
        <v>85</v>
      </c>
      <c r="V19" s="116">
        <f>$C$2-N19</f>
        <v>30</v>
      </c>
      <c r="W19" s="120" cm="1">
        <f t="array" ref="W19">ImpliedVolatility_kris("c",P19,$C$3,V19/365,$C$4,$C$4,S19,0.01)</f>
        <v>2.7823505435170421</v>
      </c>
      <c r="Z19" s="248"/>
      <c r="AA19" s="248"/>
      <c r="AB19" s="248"/>
      <c r="AC19" s="248"/>
      <c r="AD19" s="248"/>
      <c r="AE19" s="248"/>
      <c r="AF19" s="248"/>
      <c r="AG19" s="248"/>
      <c r="AH19" s="248"/>
      <c r="AI19" s="248"/>
      <c r="AJ19" s="248"/>
      <c r="AK19" s="248"/>
      <c r="AT19" s="121"/>
      <c r="AU19" s="122"/>
    </row>
    <row r="20" spans="1:58" x14ac:dyDescent="0.25">
      <c r="C20" s="230">
        <v>45434</v>
      </c>
      <c r="D20" s="231" t="s">
        <v>57</v>
      </c>
      <c r="E20" s="232">
        <v>21</v>
      </c>
      <c r="F20" s="233">
        <v>-0.06</v>
      </c>
      <c r="G20" s="231" t="s">
        <v>86</v>
      </c>
      <c r="H20" s="232">
        <v>5.8</v>
      </c>
      <c r="I20" s="234">
        <v>5000</v>
      </c>
      <c r="J20" s="231" t="s">
        <v>87</v>
      </c>
      <c r="K20" s="231">
        <f>$C$2-C20</f>
        <v>30</v>
      </c>
      <c r="L20" s="235" cm="1">
        <f t="array" ref="L20">ImpliedVolatility_kris("c",E20,$C$3,K20/365,$C$4,$C$4,H20,0.01)</f>
        <v>2.295190509001106</v>
      </c>
      <c r="N20" s="115">
        <v>45434</v>
      </c>
      <c r="O20" s="116" t="s">
        <v>57</v>
      </c>
      <c r="P20" s="117">
        <v>21</v>
      </c>
      <c r="Q20" s="118">
        <v>-0.06</v>
      </c>
      <c r="R20" s="116" t="s">
        <v>86</v>
      </c>
      <c r="S20" s="117">
        <v>5.8</v>
      </c>
      <c r="T20" s="119">
        <v>5000</v>
      </c>
      <c r="U20" s="116" t="s">
        <v>87</v>
      </c>
      <c r="V20" s="116">
        <f>$C$2-N20</f>
        <v>30</v>
      </c>
      <c r="W20" s="120" cm="1">
        <f t="array" ref="W20">ImpliedVolatility_kris("c",P20,$C$3,V20/365,$C$4,$C$4,S20,0.01)</f>
        <v>2.295190509001106</v>
      </c>
      <c r="Z20" s="248"/>
      <c r="AA20" s="248"/>
      <c r="AB20" s="248"/>
      <c r="AC20" s="248"/>
      <c r="AD20" s="248"/>
      <c r="AE20" s="248"/>
      <c r="AF20" s="248"/>
      <c r="AG20" s="248"/>
      <c r="AH20" s="248"/>
      <c r="AI20" s="248"/>
      <c r="AJ20" s="248"/>
      <c r="AK20" s="248"/>
      <c r="AT20" s="121"/>
      <c r="AU20" s="122"/>
    </row>
    <row r="21" spans="1:58" x14ac:dyDescent="0.25">
      <c r="C21" s="230">
        <v>45434</v>
      </c>
      <c r="D21" s="231" t="s">
        <v>57</v>
      </c>
      <c r="E21" s="232">
        <v>21.31</v>
      </c>
      <c r="F21" s="233">
        <v>-0.06</v>
      </c>
      <c r="G21" s="231" t="s">
        <v>88</v>
      </c>
      <c r="H21" s="232">
        <v>5.85</v>
      </c>
      <c r="I21" s="234">
        <v>5000</v>
      </c>
      <c r="J21" s="231" t="s">
        <v>89</v>
      </c>
      <c r="K21" s="231">
        <f>$C$2-C21</f>
        <v>30</v>
      </c>
      <c r="L21" s="235" cm="1">
        <f t="array" ref="L21">ImpliedVolatility_kris("c",E21,$C$3,K21/365,$C$4,$C$4,H21,0.01)</f>
        <v>2.2255865266939332</v>
      </c>
      <c r="N21" s="115">
        <v>45434</v>
      </c>
      <c r="O21" s="116" t="s">
        <v>57</v>
      </c>
      <c r="P21" s="117">
        <v>21.31</v>
      </c>
      <c r="Q21" s="118">
        <v>-0.06</v>
      </c>
      <c r="R21" s="116" t="s">
        <v>88</v>
      </c>
      <c r="S21" s="117">
        <v>5.85</v>
      </c>
      <c r="T21" s="119">
        <v>5000</v>
      </c>
      <c r="U21" s="116" t="s">
        <v>89</v>
      </c>
      <c r="V21" s="116">
        <f>$C$2-N21</f>
        <v>30</v>
      </c>
      <c r="W21" s="120" cm="1">
        <f t="array" ref="W21">ImpliedVolatility_kris("c",P21,$C$3,V21/365,$C$4,$C$4,S21,0.01)</f>
        <v>2.2255865266939332</v>
      </c>
      <c r="Z21" s="248"/>
      <c r="AA21" s="248"/>
      <c r="AB21" s="248"/>
      <c r="AC21" s="248"/>
      <c r="AD21" s="248"/>
      <c r="AE21" s="248"/>
      <c r="AF21" s="248"/>
      <c r="AG21" s="248"/>
      <c r="AH21" s="248"/>
      <c r="AI21" s="248"/>
      <c r="AJ21" s="248"/>
      <c r="AK21" s="248"/>
      <c r="AT21" s="121"/>
      <c r="AU21" s="122"/>
    </row>
    <row r="22" spans="1:58" x14ac:dyDescent="0.25">
      <c r="C22" s="230">
        <v>45434</v>
      </c>
      <c r="D22" s="231" t="s">
        <v>57</v>
      </c>
      <c r="E22" s="232">
        <v>21.03</v>
      </c>
      <c r="F22" s="233">
        <v>-0.05</v>
      </c>
      <c r="G22" s="231" t="s">
        <v>90</v>
      </c>
      <c r="H22" s="232">
        <v>5.5</v>
      </c>
      <c r="I22" s="234">
        <v>5000</v>
      </c>
      <c r="J22" s="231" t="s">
        <v>64</v>
      </c>
      <c r="K22" s="231">
        <f>$C$2-C22</f>
        <v>30</v>
      </c>
      <c r="L22" s="235" cm="1">
        <f t="array" ref="L22">ImpliedVolatility_kris("c",E22,$C$3,K22/365,$C$4,$C$4,H22,0.01)</f>
        <v>2.1513375942747253</v>
      </c>
      <c r="N22" s="115">
        <v>45434</v>
      </c>
      <c r="O22" s="116" t="s">
        <v>57</v>
      </c>
      <c r="P22" s="117">
        <v>21.03</v>
      </c>
      <c r="Q22" s="118">
        <v>-0.05</v>
      </c>
      <c r="R22" s="116" t="s">
        <v>90</v>
      </c>
      <c r="S22" s="117">
        <v>5.5</v>
      </c>
      <c r="T22" s="119">
        <v>5000</v>
      </c>
      <c r="U22" s="116" t="s">
        <v>64</v>
      </c>
      <c r="V22" s="116">
        <f>$C$2-N22</f>
        <v>30</v>
      </c>
      <c r="W22" s="120" cm="1">
        <f t="array" ref="W22">ImpliedVolatility_kris("c",P22,$C$3,V22/365,$C$4,$C$4,S22,0.01)</f>
        <v>2.1513375942747253</v>
      </c>
      <c r="Z22" s="248"/>
      <c r="AA22" s="248"/>
      <c r="AB22" s="248"/>
      <c r="AC22" s="248"/>
      <c r="AD22" s="248"/>
      <c r="AE22" s="248"/>
      <c r="AF22" s="248"/>
      <c r="AG22" s="248"/>
      <c r="AH22" s="248"/>
      <c r="AI22" s="248"/>
      <c r="AJ22" s="248"/>
      <c r="AK22" s="248"/>
      <c r="AT22" s="121"/>
      <c r="AU22" s="122"/>
    </row>
    <row r="23" spans="1:58" x14ac:dyDescent="0.25">
      <c r="C23" s="230">
        <v>45434</v>
      </c>
      <c r="D23" s="231" t="s">
        <v>69</v>
      </c>
      <c r="E23" s="232">
        <v>20.98</v>
      </c>
      <c r="F23" s="233">
        <v>-0.05</v>
      </c>
      <c r="G23" s="231" t="s">
        <v>91</v>
      </c>
      <c r="H23" s="232">
        <v>5</v>
      </c>
      <c r="I23" s="234">
        <v>5000</v>
      </c>
      <c r="J23" s="231" t="s">
        <v>92</v>
      </c>
      <c r="K23" s="231">
        <f>$C$2-C23</f>
        <v>30</v>
      </c>
      <c r="L23" s="235" cm="1">
        <f t="array" ref="L23">ImpliedVolatility_kris("c",E23,$C$3,K23/365,$C$4,$C$4,H23,0.01)</f>
        <v>1.9423572612837354</v>
      </c>
      <c r="N23" s="115">
        <v>45434</v>
      </c>
      <c r="O23" s="116" t="s">
        <v>69</v>
      </c>
      <c r="P23" s="117">
        <v>20.98</v>
      </c>
      <c r="Q23" s="118">
        <v>-0.05</v>
      </c>
      <c r="R23" s="116" t="s">
        <v>91</v>
      </c>
      <c r="S23" s="117">
        <v>5</v>
      </c>
      <c r="T23" s="119">
        <v>5000</v>
      </c>
      <c r="U23" s="116" t="s">
        <v>92</v>
      </c>
      <c r="V23" s="116">
        <f>$C$2-N23</f>
        <v>30</v>
      </c>
      <c r="W23" s="120" cm="1">
        <f t="array" ref="W23">ImpliedVolatility_kris("c",P23,$C$3,V23/365,$C$4,$C$4,S23,0.01)</f>
        <v>1.9423572612837354</v>
      </c>
      <c r="Z23" s="248"/>
      <c r="AA23" s="248"/>
      <c r="AB23" s="248"/>
      <c r="AC23" s="248"/>
      <c r="AD23" s="248"/>
      <c r="AE23" s="248"/>
      <c r="AF23" s="248"/>
      <c r="AG23" s="248"/>
      <c r="AH23" s="248"/>
      <c r="AI23" s="248"/>
      <c r="AJ23" s="248"/>
      <c r="AK23" s="248"/>
      <c r="AT23" s="121"/>
      <c r="AU23" s="122"/>
    </row>
    <row r="24" spans="1:58" x14ac:dyDescent="0.25">
      <c r="C24" s="230">
        <v>45434</v>
      </c>
      <c r="D24" s="231" t="s">
        <v>62</v>
      </c>
      <c r="E24" s="232">
        <v>21.05</v>
      </c>
      <c r="F24" s="233">
        <v>-0.05</v>
      </c>
      <c r="G24" s="231" t="s">
        <v>93</v>
      </c>
      <c r="H24" s="232">
        <v>5</v>
      </c>
      <c r="I24" s="234">
        <v>5000</v>
      </c>
      <c r="J24" s="231" t="s">
        <v>92</v>
      </c>
      <c r="K24" s="231">
        <f>$C$2-C24</f>
        <v>30</v>
      </c>
      <c r="L24" s="235" cm="1">
        <f t="array" ref="L24">ImpliedVolatility_kris("c",E24,$C$3,K24/365,$C$4,$C$4,H24,0.01)</f>
        <v>1.9223200473527291</v>
      </c>
      <c r="N24" s="115">
        <v>45434</v>
      </c>
      <c r="O24" s="116" t="s">
        <v>62</v>
      </c>
      <c r="P24" s="117">
        <v>21.05</v>
      </c>
      <c r="Q24" s="118">
        <v>-0.05</v>
      </c>
      <c r="R24" s="116" t="s">
        <v>93</v>
      </c>
      <c r="S24" s="117">
        <v>5</v>
      </c>
      <c r="T24" s="119">
        <v>5000</v>
      </c>
      <c r="U24" s="116" t="s">
        <v>92</v>
      </c>
      <c r="V24" s="116">
        <f>$C$2-N24</f>
        <v>30</v>
      </c>
      <c r="W24" s="120" cm="1">
        <f t="array" ref="W24">ImpliedVolatility_kris("c",P24,$C$3,V24/365,$C$4,$C$4,S24,0.01)</f>
        <v>1.9223200473527291</v>
      </c>
      <c r="Z24" s="248"/>
      <c r="AA24" s="248"/>
      <c r="AB24" s="248"/>
      <c r="AC24" s="248"/>
      <c r="AD24" s="248"/>
      <c r="AE24" s="248"/>
      <c r="AF24" s="248"/>
      <c r="AG24" s="248"/>
      <c r="AH24" s="248"/>
      <c r="AI24" s="248"/>
      <c r="AJ24" s="248"/>
      <c r="AK24" s="248"/>
      <c r="AT24" s="121"/>
      <c r="AU24" s="122"/>
    </row>
    <row r="25" spans="1:58" x14ac:dyDescent="0.25">
      <c r="C25" s="230">
        <v>45434</v>
      </c>
      <c r="D25" s="231" t="s">
        <v>57</v>
      </c>
      <c r="E25" s="232">
        <v>21.08</v>
      </c>
      <c r="F25" s="233">
        <v>-0.05</v>
      </c>
      <c r="G25" s="231" t="s">
        <v>94</v>
      </c>
      <c r="H25" s="232">
        <v>5</v>
      </c>
      <c r="I25" s="234">
        <v>5000</v>
      </c>
      <c r="J25" s="231" t="s">
        <v>92</v>
      </c>
      <c r="K25" s="231">
        <f>$C$2-C25</f>
        <v>30</v>
      </c>
      <c r="L25" s="235" cm="1">
        <f t="array" ref="L25">ImpliedVolatility_kris("c",E25,$C$3,K25/365,$C$4,$C$4,H25,0.01)</f>
        <v>1.9137285245239775</v>
      </c>
      <c r="N25" s="115">
        <v>45434</v>
      </c>
      <c r="O25" s="116" t="s">
        <v>57</v>
      </c>
      <c r="P25" s="117">
        <v>21.08</v>
      </c>
      <c r="Q25" s="118">
        <v>-0.05</v>
      </c>
      <c r="R25" s="116" t="s">
        <v>94</v>
      </c>
      <c r="S25" s="117">
        <v>5</v>
      </c>
      <c r="T25" s="119">
        <v>5000</v>
      </c>
      <c r="U25" s="116" t="s">
        <v>92</v>
      </c>
      <c r="V25" s="116">
        <f>$C$2-N25</f>
        <v>30</v>
      </c>
      <c r="W25" s="120" cm="1">
        <f t="array" ref="W25">ImpliedVolatility_kris("c",P25,$C$3,V25/365,$C$4,$C$4,S25,0.01)</f>
        <v>1.9137285245239775</v>
      </c>
      <c r="Z25" s="248"/>
      <c r="AA25" s="248"/>
      <c r="AB25" s="248"/>
      <c r="AC25" s="248"/>
      <c r="AD25" s="248"/>
      <c r="AE25" s="248"/>
      <c r="AF25" s="248"/>
      <c r="AG25" s="248"/>
      <c r="AH25" s="248"/>
      <c r="AI25" s="248"/>
      <c r="AJ25" s="248"/>
      <c r="AK25" s="248"/>
      <c r="AT25" s="121"/>
      <c r="AU25" s="122"/>
    </row>
    <row r="26" spans="1:58" x14ac:dyDescent="0.25">
      <c r="C26" s="230">
        <v>45434</v>
      </c>
      <c r="D26" s="231" t="s">
        <v>57</v>
      </c>
      <c r="E26" s="232">
        <v>21.04</v>
      </c>
      <c r="F26" s="233">
        <v>-0.05</v>
      </c>
      <c r="G26" s="231" t="s">
        <v>94</v>
      </c>
      <c r="H26" s="232">
        <v>5</v>
      </c>
      <c r="I26" s="234">
        <v>5000</v>
      </c>
      <c r="J26" s="231" t="s">
        <v>92</v>
      </c>
      <c r="K26" s="231">
        <f>$C$2-C26</f>
        <v>30</v>
      </c>
      <c r="L26" s="235" cm="1">
        <f t="array" ref="L26">ImpliedVolatility_kris("c",E26,$C$3,K26/365,$C$4,$C$4,H26,0.01)</f>
        <v>1.9251833047113274</v>
      </c>
      <c r="N26" s="115">
        <v>45434</v>
      </c>
      <c r="O26" s="116" t="s">
        <v>57</v>
      </c>
      <c r="P26" s="117">
        <v>21.04</v>
      </c>
      <c r="Q26" s="118">
        <v>-0.05</v>
      </c>
      <c r="R26" s="116" t="s">
        <v>94</v>
      </c>
      <c r="S26" s="117">
        <v>5</v>
      </c>
      <c r="T26" s="119">
        <v>5000</v>
      </c>
      <c r="U26" s="116" t="s">
        <v>92</v>
      </c>
      <c r="V26" s="116">
        <f>$C$2-N26</f>
        <v>30</v>
      </c>
      <c r="W26" s="120" cm="1">
        <f t="array" ref="W26">ImpliedVolatility_kris("c",P26,$C$3,V26/365,$C$4,$C$4,S26,0.01)</f>
        <v>1.9251833047113274</v>
      </c>
      <c r="Z26" s="248"/>
      <c r="AA26" s="248"/>
      <c r="AB26" s="248"/>
      <c r="AC26" s="248"/>
      <c r="AD26" s="248"/>
      <c r="AE26" s="248"/>
      <c r="AF26" s="248"/>
      <c r="AG26" s="248"/>
      <c r="AH26" s="248"/>
      <c r="AI26" s="248"/>
      <c r="AJ26" s="248"/>
      <c r="AK26" s="248"/>
      <c r="AT26" s="121"/>
      <c r="AU26" s="122"/>
    </row>
    <row r="27" spans="1:58" s="140" customFormat="1" x14ac:dyDescent="0.25">
      <c r="A27" s="248"/>
      <c r="B27" s="105"/>
      <c r="C27" s="242">
        <v>45433</v>
      </c>
      <c r="D27" s="243" t="s">
        <v>57</v>
      </c>
      <c r="E27" s="244">
        <v>22.28</v>
      </c>
      <c r="F27" s="245">
        <v>-0.1</v>
      </c>
      <c r="G27" s="243" t="s">
        <v>95</v>
      </c>
      <c r="H27" s="244">
        <v>5.75</v>
      </c>
      <c r="I27" s="246">
        <v>5000</v>
      </c>
      <c r="J27" s="243" t="s">
        <v>96</v>
      </c>
      <c r="K27" s="243">
        <f>$C$2-C27</f>
        <v>31</v>
      </c>
      <c r="L27" s="247" cm="1">
        <f t="array" ref="L27">ImpliedVolatility_kris("c",E27,$C$3,K27/365,$C$4,$C$4,H27,0.01)</f>
        <v>1.8618377692627592</v>
      </c>
      <c r="M27" s="105"/>
      <c r="N27" s="132">
        <v>45433</v>
      </c>
      <c r="O27" s="133" t="s">
        <v>57</v>
      </c>
      <c r="P27" s="134">
        <v>22.28</v>
      </c>
      <c r="Q27" s="135">
        <v>-0.1</v>
      </c>
      <c r="R27" s="133" t="s">
        <v>95</v>
      </c>
      <c r="S27" s="134">
        <v>5.75</v>
      </c>
      <c r="T27" s="136">
        <v>5000</v>
      </c>
      <c r="U27" s="133" t="s">
        <v>96</v>
      </c>
      <c r="V27" s="133">
        <f>$C$2-N27</f>
        <v>31</v>
      </c>
      <c r="W27" s="137" cm="1">
        <f t="array" ref="W27">ImpliedVolatility_kris("c",P27,$C$3,V27/365,$C$4,$C$4,S27,0.01)</f>
        <v>1.8618377692627592</v>
      </c>
      <c r="X27" s="105"/>
      <c r="Y27" s="105"/>
      <c r="Z27" s="248"/>
      <c r="AA27" s="248"/>
      <c r="AB27" s="248"/>
      <c r="AC27" s="248"/>
      <c r="AD27" s="248"/>
      <c r="AE27" s="248"/>
      <c r="AF27" s="248"/>
      <c r="AG27" s="248"/>
      <c r="AH27" s="248"/>
      <c r="AI27" s="248"/>
      <c r="AJ27" s="248"/>
      <c r="AK27" s="248"/>
      <c r="AL27" s="105"/>
      <c r="AM27" s="105"/>
      <c r="AN27" s="105"/>
      <c r="AO27" s="105"/>
      <c r="AP27" s="105"/>
      <c r="AQ27" s="105"/>
      <c r="AR27" s="105"/>
      <c r="AS27" s="105"/>
      <c r="AT27" s="121"/>
      <c r="AU27" s="122"/>
      <c r="AV27" s="105"/>
      <c r="AW27" s="105"/>
      <c r="AX27" s="105"/>
      <c r="AY27" s="105"/>
      <c r="AZ27" s="105"/>
      <c r="BA27" s="105"/>
      <c r="BB27" s="105"/>
      <c r="BC27" s="105"/>
      <c r="BD27" s="105"/>
      <c r="BE27" s="105"/>
      <c r="BF27" s="105"/>
    </row>
    <row r="28" spans="1:58" x14ac:dyDescent="0.25">
      <c r="C28" s="230">
        <v>45433</v>
      </c>
      <c r="D28" s="231" t="s">
        <v>57</v>
      </c>
      <c r="E28" s="232">
        <v>21.7</v>
      </c>
      <c r="F28" s="233">
        <v>-0.08</v>
      </c>
      <c r="G28" s="231" t="s">
        <v>97</v>
      </c>
      <c r="H28" s="232">
        <v>5.5</v>
      </c>
      <c r="I28" s="234">
        <v>5000</v>
      </c>
      <c r="J28" s="231" t="s">
        <v>64</v>
      </c>
      <c r="K28" s="231">
        <f>$C$2-C28</f>
        <v>31</v>
      </c>
      <c r="L28" s="235" cm="1">
        <f t="array" ref="L28">ImpliedVolatility_kris("c",E28,$C$3,K28/365,$C$4,$C$4,H28,0.01)</f>
        <v>1.9232068880289164</v>
      </c>
      <c r="N28" s="115">
        <v>45433</v>
      </c>
      <c r="O28" s="116" t="s">
        <v>57</v>
      </c>
      <c r="P28" s="117">
        <v>21.7</v>
      </c>
      <c r="Q28" s="118">
        <v>-0.08</v>
      </c>
      <c r="R28" s="116" t="s">
        <v>97</v>
      </c>
      <c r="S28" s="117">
        <v>5.5</v>
      </c>
      <c r="T28" s="119">
        <v>5000</v>
      </c>
      <c r="U28" s="116" t="s">
        <v>64</v>
      </c>
      <c r="V28" s="116">
        <f>$C$2-N28</f>
        <v>31</v>
      </c>
      <c r="W28" s="120" cm="1">
        <f t="array" ref="W28">ImpliedVolatility_kris("c",P28,$C$3,V28/365,$C$4,$C$4,S28,0.01)</f>
        <v>1.9232068880289164</v>
      </c>
      <c r="AT28" s="121"/>
      <c r="AU28" s="122"/>
    </row>
    <row r="29" spans="1:58" x14ac:dyDescent="0.25">
      <c r="C29" s="230">
        <v>45433</v>
      </c>
      <c r="D29" s="231" t="s">
        <v>57</v>
      </c>
      <c r="E29" s="232">
        <v>21.27</v>
      </c>
      <c r="F29" s="233">
        <v>-0.06</v>
      </c>
      <c r="G29" s="231" t="s">
        <v>98</v>
      </c>
      <c r="H29" s="232">
        <v>4.95</v>
      </c>
      <c r="I29" s="234">
        <v>5000</v>
      </c>
      <c r="J29" s="231" t="s">
        <v>99</v>
      </c>
      <c r="K29" s="231">
        <f>$C$2-C29</f>
        <v>31</v>
      </c>
      <c r="L29" s="235" cm="1">
        <f t="array" ref="L29">ImpliedVolatility_kris("c",E29,$C$3,K29/365,$C$4,$C$4,H29,0.01)</f>
        <v>1.8072807871578243</v>
      </c>
      <c r="N29" s="115">
        <v>45433</v>
      </c>
      <c r="O29" s="116" t="s">
        <v>57</v>
      </c>
      <c r="P29" s="117">
        <v>21.27</v>
      </c>
      <c r="Q29" s="118">
        <v>-0.06</v>
      </c>
      <c r="R29" s="116" t="s">
        <v>98</v>
      </c>
      <c r="S29" s="117">
        <v>4.95</v>
      </c>
      <c r="T29" s="119">
        <v>5000</v>
      </c>
      <c r="U29" s="116" t="s">
        <v>99</v>
      </c>
      <c r="V29" s="116">
        <f>$C$2-N29</f>
        <v>31</v>
      </c>
      <c r="W29" s="120" cm="1">
        <f t="array" ref="W29">ImpliedVolatility_kris("c",P29,$C$3,V29/365,$C$4,$C$4,S29,0.01)</f>
        <v>1.8072807871578243</v>
      </c>
      <c r="AT29" s="121"/>
      <c r="AU29" s="122"/>
    </row>
    <row r="30" spans="1:58" x14ac:dyDescent="0.25">
      <c r="C30" s="230">
        <v>45433</v>
      </c>
      <c r="D30" s="231" t="s">
        <v>62</v>
      </c>
      <c r="E30" s="232">
        <v>21.65</v>
      </c>
      <c r="F30" s="233">
        <v>-0.08</v>
      </c>
      <c r="G30" s="231" t="s">
        <v>100</v>
      </c>
      <c r="H30" s="232">
        <v>5</v>
      </c>
      <c r="I30" s="234">
        <v>5000</v>
      </c>
      <c r="J30" s="231" t="s">
        <v>92</v>
      </c>
      <c r="K30" s="231">
        <f>$C$2-C30</f>
        <v>31</v>
      </c>
      <c r="L30" s="235" cm="1">
        <f t="array" ref="L30">ImpliedVolatility_kris("c",E30,$C$3,K30/365,$C$4,$C$4,H30,0.01)</f>
        <v>1.7212882670536924</v>
      </c>
      <c r="N30" s="115">
        <v>45433</v>
      </c>
      <c r="O30" s="116" t="s">
        <v>62</v>
      </c>
      <c r="P30" s="117">
        <v>21.65</v>
      </c>
      <c r="Q30" s="118">
        <v>-0.08</v>
      </c>
      <c r="R30" s="116" t="s">
        <v>100</v>
      </c>
      <c r="S30" s="117">
        <v>5</v>
      </c>
      <c r="T30" s="119">
        <v>5000</v>
      </c>
      <c r="U30" s="116" t="s">
        <v>92</v>
      </c>
      <c r="V30" s="116">
        <f>$C$2-N30</f>
        <v>31</v>
      </c>
      <c r="W30" s="120" cm="1">
        <f t="array" ref="W30">ImpliedVolatility_kris("c",P30,$C$3,V30/365,$C$4,$C$4,S30,0.01)</f>
        <v>1.7212882670536924</v>
      </c>
      <c r="AT30" s="121"/>
      <c r="AU30" s="122"/>
    </row>
    <row r="31" spans="1:58" s="140" customFormat="1" x14ac:dyDescent="0.25">
      <c r="A31" s="248"/>
      <c r="B31" s="105"/>
      <c r="C31" s="242">
        <v>45432</v>
      </c>
      <c r="D31" s="243" t="s">
        <v>57</v>
      </c>
      <c r="E31" s="244">
        <v>20.88</v>
      </c>
      <c r="F31" s="245">
        <v>-0.04</v>
      </c>
      <c r="G31" s="243" t="s">
        <v>101</v>
      </c>
      <c r="H31" s="244">
        <v>4.8499999999999996</v>
      </c>
      <c r="I31" s="246">
        <v>5000</v>
      </c>
      <c r="J31" s="243" t="s">
        <v>102</v>
      </c>
      <c r="K31" s="243">
        <f>$C$2-C31</f>
        <v>32</v>
      </c>
      <c r="L31" s="247" cm="1">
        <f t="array" ref="L31">ImpliedVolatility_kris("c",E31,$C$3,K31/365,$C$4,$C$4,H31,0.01)</f>
        <v>1.8436026128861942</v>
      </c>
      <c r="M31" s="105"/>
      <c r="N31" s="132">
        <v>45432</v>
      </c>
      <c r="O31" s="133" t="s">
        <v>57</v>
      </c>
      <c r="P31" s="134">
        <v>20.88</v>
      </c>
      <c r="Q31" s="135">
        <v>-0.04</v>
      </c>
      <c r="R31" s="133" t="s">
        <v>101</v>
      </c>
      <c r="S31" s="134">
        <v>4.8499999999999996</v>
      </c>
      <c r="T31" s="136">
        <v>5000</v>
      </c>
      <c r="U31" s="133" t="s">
        <v>102</v>
      </c>
      <c r="V31" s="133">
        <f>$C$2-N31</f>
        <v>32</v>
      </c>
      <c r="W31" s="137" cm="1">
        <f t="array" ref="W31">ImpliedVolatility_kris("c",P31,$C$3,V31/365,$C$4,$C$4,S31,0.01)</f>
        <v>1.8436026128861942</v>
      </c>
      <c r="X31" s="105"/>
      <c r="Y31" s="105"/>
      <c r="Z31" s="105"/>
      <c r="AA31" s="105"/>
      <c r="AB31" s="105"/>
      <c r="AC31" s="105"/>
      <c r="AD31" s="105"/>
      <c r="AE31" s="105"/>
      <c r="AF31" s="105"/>
      <c r="AG31" s="105"/>
      <c r="AH31" s="105"/>
      <c r="AI31" s="105"/>
      <c r="AJ31" s="105"/>
      <c r="AK31" s="105"/>
      <c r="AL31" s="105"/>
      <c r="AM31" s="105"/>
      <c r="AN31" s="105"/>
      <c r="AO31" s="105"/>
      <c r="AP31" s="105"/>
      <c r="AQ31" s="105"/>
      <c r="AR31" s="105"/>
      <c r="AS31" s="105"/>
      <c r="AT31" s="121"/>
      <c r="AU31" s="122"/>
      <c r="AV31" s="105"/>
      <c r="AW31" s="105"/>
      <c r="AX31" s="105"/>
      <c r="AY31" s="105"/>
      <c r="AZ31" s="105"/>
      <c r="BA31" s="105"/>
      <c r="BB31" s="105"/>
      <c r="BC31" s="105"/>
      <c r="BD31" s="105"/>
      <c r="BE31" s="105"/>
      <c r="BF31" s="105"/>
    </row>
    <row r="32" spans="1:58" x14ac:dyDescent="0.25">
      <c r="C32" s="230">
        <v>45432</v>
      </c>
      <c r="D32" s="231" t="s">
        <v>57</v>
      </c>
      <c r="E32" s="232">
        <v>20.67</v>
      </c>
      <c r="F32" s="233">
        <v>-0.03</v>
      </c>
      <c r="G32" s="231" t="s">
        <v>103</v>
      </c>
      <c r="H32" s="232">
        <v>4.5999999999999996</v>
      </c>
      <c r="I32" s="234">
        <v>5000</v>
      </c>
      <c r="J32" s="231" t="s">
        <v>104</v>
      </c>
      <c r="K32" s="231">
        <f>$C$2-C32</f>
        <v>32</v>
      </c>
      <c r="L32" s="235" cm="1">
        <f t="array" ref="L32">ImpliedVolatility_kris("c",E32,$C$3,K32/365,$C$4,$C$4,H32,0.01)</f>
        <v>1.7930686907837048</v>
      </c>
      <c r="N32" s="115">
        <v>45432</v>
      </c>
      <c r="O32" s="116" t="s">
        <v>57</v>
      </c>
      <c r="P32" s="117">
        <v>20.67</v>
      </c>
      <c r="Q32" s="118">
        <v>-0.03</v>
      </c>
      <c r="R32" s="116" t="s">
        <v>103</v>
      </c>
      <c r="S32" s="117">
        <v>4.5999999999999996</v>
      </c>
      <c r="T32" s="119">
        <v>5000</v>
      </c>
      <c r="U32" s="116" t="s">
        <v>104</v>
      </c>
      <c r="V32" s="116">
        <f>$C$2-N32</f>
        <v>32</v>
      </c>
      <c r="W32" s="120" cm="1">
        <f t="array" ref="W32">ImpliedVolatility_kris("c",P32,$C$3,V32/365,$C$4,$C$4,S32,0.01)</f>
        <v>1.7930686907837048</v>
      </c>
      <c r="AT32" s="121"/>
      <c r="AU32" s="122"/>
    </row>
    <row r="34" spans="3:41" x14ac:dyDescent="0.25">
      <c r="C34" s="150" t="s">
        <v>111</v>
      </c>
      <c r="D34" s="150" t="s">
        <v>112</v>
      </c>
      <c r="E34" s="150" t="s">
        <v>113</v>
      </c>
      <c r="F34" s="150" t="s">
        <v>53</v>
      </c>
      <c r="G34" s="150" t="s">
        <v>114</v>
      </c>
      <c r="H34" s="150" t="s">
        <v>134</v>
      </c>
      <c r="I34" s="150" t="s">
        <v>116</v>
      </c>
      <c r="J34" s="150" t="s">
        <v>115</v>
      </c>
      <c r="K34" s="150" t="s">
        <v>20</v>
      </c>
      <c r="L34" s="150" t="s">
        <v>7</v>
      </c>
      <c r="N34" s="169" t="s">
        <v>111</v>
      </c>
      <c r="O34" s="169" t="s">
        <v>112</v>
      </c>
      <c r="P34" s="169" t="s">
        <v>113</v>
      </c>
      <c r="Q34" s="169" t="s">
        <v>53</v>
      </c>
      <c r="R34" s="169" t="s">
        <v>114</v>
      </c>
      <c r="S34" s="169" t="s">
        <v>134</v>
      </c>
      <c r="T34" s="169" t="s">
        <v>116</v>
      </c>
      <c r="U34" s="169" t="s">
        <v>115</v>
      </c>
      <c r="V34" s="169" t="s">
        <v>20</v>
      </c>
      <c r="W34" s="169" t="s">
        <v>7</v>
      </c>
      <c r="Y34" s="150" t="s">
        <v>111</v>
      </c>
      <c r="Z34" s="150" t="s">
        <v>112</v>
      </c>
      <c r="AA34" s="150" t="s">
        <v>113</v>
      </c>
      <c r="AB34" s="150" t="s">
        <v>53</v>
      </c>
      <c r="AC34" s="150" t="s">
        <v>114</v>
      </c>
      <c r="AD34" s="150" t="s">
        <v>134</v>
      </c>
      <c r="AE34" s="150" t="s">
        <v>116</v>
      </c>
      <c r="AF34" s="150" t="s">
        <v>115</v>
      </c>
      <c r="AG34" s="150" t="s">
        <v>20</v>
      </c>
      <c r="AH34" s="150" t="s">
        <v>7</v>
      </c>
      <c r="AN34" s="150" t="s">
        <v>113</v>
      </c>
      <c r="AO34" s="150" t="s">
        <v>113</v>
      </c>
    </row>
    <row r="35" spans="3:41" x14ac:dyDescent="0.25">
      <c r="C35" s="151">
        <v>45443</v>
      </c>
      <c r="D35" s="152" t="s">
        <v>57</v>
      </c>
      <c r="E35" s="153">
        <v>23.24</v>
      </c>
      <c r="F35" s="154">
        <v>-0.14000000000000001</v>
      </c>
      <c r="G35" s="152" t="s">
        <v>58</v>
      </c>
      <c r="H35" s="153">
        <v>5.6</v>
      </c>
      <c r="I35" s="155">
        <v>5000</v>
      </c>
      <c r="J35" s="152" t="s">
        <v>59</v>
      </c>
      <c r="K35" s="152">
        <f>$C$2-C35</f>
        <v>21</v>
      </c>
      <c r="L35" s="166" cm="1">
        <f t="array" ref="L35">ImpliedVolatility_kris("c",E35,$C$3,K35/365,$C$4,$C$4,H35,0.01)</f>
        <v>1.8355586626678784</v>
      </c>
      <c r="N35" s="170">
        <v>45443</v>
      </c>
      <c r="O35" s="171" t="s">
        <v>57</v>
      </c>
      <c r="P35" s="172">
        <v>23.24</v>
      </c>
      <c r="Q35" s="173">
        <v>-0.14000000000000001</v>
      </c>
      <c r="R35" s="171" t="s">
        <v>58</v>
      </c>
      <c r="S35" s="172">
        <v>5.6</v>
      </c>
      <c r="T35" s="174">
        <v>5000</v>
      </c>
      <c r="U35" s="171" t="s">
        <v>59</v>
      </c>
      <c r="V35" s="171">
        <f>$C$2-N35</f>
        <v>21</v>
      </c>
      <c r="W35" s="175" cm="1">
        <f t="array" ref="W35">ImpliedVolatility_kris("c",P35,$C$3,V35/365,$C$4,$C$4,S35,0.01)</f>
        <v>1.8355586626678784</v>
      </c>
      <c r="Y35" s="192">
        <v>45443</v>
      </c>
      <c r="Z35" s="193" t="s">
        <v>57</v>
      </c>
      <c r="AA35" s="194">
        <v>23.24</v>
      </c>
      <c r="AB35" s="195">
        <v>-0.14000000000000001</v>
      </c>
      <c r="AC35" s="193" t="s">
        <v>58</v>
      </c>
      <c r="AD35" s="194">
        <v>5.6</v>
      </c>
      <c r="AE35" s="196">
        <v>5000</v>
      </c>
      <c r="AF35" s="193" t="s">
        <v>59</v>
      </c>
      <c r="AG35" s="193">
        <f>$C$2-Y35</f>
        <v>21</v>
      </c>
      <c r="AH35" s="197" cm="1">
        <f t="array" ref="AH35">ImpliedVolatility_kris("c",AA35,$C$3,AG35/365,$C$4,$C$4,AD35,0.01)</f>
        <v>1.8355586626678784</v>
      </c>
      <c r="AN35" s="194">
        <v>23.24</v>
      </c>
      <c r="AO35" s="194">
        <v>23.24</v>
      </c>
    </row>
    <row r="36" spans="3:41" x14ac:dyDescent="0.25">
      <c r="C36" s="156">
        <v>45442</v>
      </c>
      <c r="D36" s="157" t="s">
        <v>57</v>
      </c>
      <c r="E36" s="158">
        <v>22.59</v>
      </c>
      <c r="F36" s="159">
        <v>-0.11</v>
      </c>
      <c r="G36" s="157" t="s">
        <v>117</v>
      </c>
      <c r="H36" s="158">
        <v>5.2</v>
      </c>
      <c r="I36" s="160">
        <v>5000</v>
      </c>
      <c r="J36" s="157" t="s">
        <v>61</v>
      </c>
      <c r="K36" s="157">
        <f>$C$2-C36</f>
        <v>22</v>
      </c>
      <c r="L36" s="167" cm="1">
        <f t="array" ref="L36">ImpliedVolatility_kris("c",E36,$C$3,K36/365,$C$4,$C$4,H36,0.01)</f>
        <v>1.8205553858283039</v>
      </c>
      <c r="N36" s="176">
        <v>45442</v>
      </c>
      <c r="O36" s="177" t="s">
        <v>57</v>
      </c>
      <c r="P36" s="178">
        <v>22.59</v>
      </c>
      <c r="Q36" s="179">
        <v>-0.11</v>
      </c>
      <c r="R36" s="177" t="s">
        <v>117</v>
      </c>
      <c r="S36" s="178">
        <v>5.2</v>
      </c>
      <c r="T36" s="180">
        <v>5000</v>
      </c>
      <c r="U36" s="177" t="s">
        <v>61</v>
      </c>
      <c r="V36" s="177">
        <f>$C$2-N36</f>
        <v>22</v>
      </c>
      <c r="W36" s="181" cm="1">
        <f t="array" ref="W36">ImpliedVolatility_kris("c",P36,$C$3,V36/365,$C$4,$C$4,S36,0.01)</f>
        <v>1.8205553858283039</v>
      </c>
      <c r="Y36" s="198">
        <v>45442</v>
      </c>
      <c r="Z36" s="199" t="s">
        <v>57</v>
      </c>
      <c r="AA36" s="200">
        <v>22.59</v>
      </c>
      <c r="AB36" s="201">
        <v>-0.11</v>
      </c>
      <c r="AC36" s="199" t="s">
        <v>117</v>
      </c>
      <c r="AD36" s="200">
        <v>5.2</v>
      </c>
      <c r="AE36" s="202">
        <v>5000</v>
      </c>
      <c r="AF36" s="199" t="s">
        <v>61</v>
      </c>
      <c r="AG36" s="199">
        <f>$C$2-Y36</f>
        <v>22</v>
      </c>
      <c r="AH36" s="203" cm="1">
        <f t="array" ref="AH36">ImpliedVolatility_kris("c",AA36,$C$3,AG36/365,$C$4,$C$4,AD36,0.01)</f>
        <v>1.8205553858283039</v>
      </c>
      <c r="AN36" s="200">
        <v>22.59</v>
      </c>
      <c r="AO36" s="200">
        <v>22.59</v>
      </c>
    </row>
    <row r="37" spans="3:41" x14ac:dyDescent="0.25">
      <c r="C37" s="156">
        <v>45441</v>
      </c>
      <c r="D37" s="157" t="s">
        <v>62</v>
      </c>
      <c r="E37" s="158">
        <v>22.2</v>
      </c>
      <c r="F37" s="159">
        <v>-0.1</v>
      </c>
      <c r="G37" s="157" t="s">
        <v>63</v>
      </c>
      <c r="H37" s="158">
        <v>5.5</v>
      </c>
      <c r="I37" s="160">
        <v>5000</v>
      </c>
      <c r="J37" s="157" t="s">
        <v>64</v>
      </c>
      <c r="K37" s="157">
        <f>$C$2-C37</f>
        <v>23</v>
      </c>
      <c r="L37" s="167" cm="1">
        <f t="array" ref="L37">ImpliedVolatility_kris("c",E37,$C$3,K37/365,$C$4,$C$4,H37,0.01)</f>
        <v>2.0624858041690799</v>
      </c>
      <c r="N37" s="176">
        <v>45441</v>
      </c>
      <c r="O37" s="177" t="s">
        <v>62</v>
      </c>
      <c r="P37" s="178">
        <v>22.2</v>
      </c>
      <c r="Q37" s="179">
        <v>-0.1</v>
      </c>
      <c r="R37" s="177" t="s">
        <v>63</v>
      </c>
      <c r="S37" s="178">
        <v>5.5</v>
      </c>
      <c r="T37" s="180">
        <v>5000</v>
      </c>
      <c r="U37" s="177" t="s">
        <v>64</v>
      </c>
      <c r="V37" s="177">
        <f>$C$2-N37</f>
        <v>23</v>
      </c>
      <c r="W37" s="181" cm="1">
        <f t="array" ref="W37">ImpliedVolatility_kris("c",P37,$C$3,V37/365,$C$4,$C$4,S37,0.01)</f>
        <v>2.0624858041690799</v>
      </c>
      <c r="Y37" s="198">
        <v>45441</v>
      </c>
      <c r="Z37" s="199" t="s">
        <v>62</v>
      </c>
      <c r="AA37" s="200">
        <v>22.2</v>
      </c>
      <c r="AB37" s="201">
        <v>-0.1</v>
      </c>
      <c r="AC37" s="199" t="s">
        <v>63</v>
      </c>
      <c r="AD37" s="200">
        <v>5.5</v>
      </c>
      <c r="AE37" s="202">
        <v>5000</v>
      </c>
      <c r="AF37" s="199" t="s">
        <v>64</v>
      </c>
      <c r="AG37" s="199">
        <f>$C$2-Y37</f>
        <v>23</v>
      </c>
      <c r="AH37" s="203" cm="1">
        <f t="array" ref="AH37">ImpliedVolatility_kris("c",AA37,$C$3,AG37/365,$C$4,$C$4,AD37,0.01)</f>
        <v>2.0624858041690799</v>
      </c>
      <c r="AN37" s="200">
        <v>22.2</v>
      </c>
      <c r="AO37" s="200">
        <v>22.2</v>
      </c>
    </row>
    <row r="38" spans="3:41" x14ac:dyDescent="0.25">
      <c r="C38" s="161">
        <v>45440</v>
      </c>
      <c r="D38" s="162" t="s">
        <v>57</v>
      </c>
      <c r="E38" s="163">
        <v>23.34</v>
      </c>
      <c r="F38" s="164">
        <v>-0.14000000000000001</v>
      </c>
      <c r="G38" s="162" t="s">
        <v>65</v>
      </c>
      <c r="H38" s="163">
        <v>6.5</v>
      </c>
      <c r="I38" s="165">
        <v>5000</v>
      </c>
      <c r="J38" s="162" t="s">
        <v>66</v>
      </c>
      <c r="K38" s="162">
        <f>$C$2-C38</f>
        <v>24</v>
      </c>
      <c r="L38" s="168" cm="1">
        <f t="array" ref="L38">ImpliedVolatility_kris("c",E38,$C$3,K38/365,$C$4,$C$4,H38,0.01)</f>
        <v>2.1231783154050166</v>
      </c>
      <c r="N38" s="182">
        <v>45440</v>
      </c>
      <c r="O38" s="183" t="s">
        <v>57</v>
      </c>
      <c r="P38" s="184">
        <v>23.34</v>
      </c>
      <c r="Q38" s="185">
        <v>-0.14000000000000001</v>
      </c>
      <c r="R38" s="183" t="s">
        <v>65</v>
      </c>
      <c r="S38" s="184">
        <v>6.5</v>
      </c>
      <c r="T38" s="186">
        <v>5000</v>
      </c>
      <c r="U38" s="183" t="s">
        <v>66</v>
      </c>
      <c r="V38" s="183">
        <f>$C$2-N38</f>
        <v>24</v>
      </c>
      <c r="W38" s="187" cm="1">
        <f t="array" ref="W38">ImpliedVolatility_kris("c",P38,$C$3,V38/365,$C$4,$C$4,S38,0.01)</f>
        <v>2.1231783154050166</v>
      </c>
      <c r="Y38" s="204">
        <v>45440</v>
      </c>
      <c r="Z38" s="205" t="s">
        <v>57</v>
      </c>
      <c r="AA38" s="206">
        <v>23.34</v>
      </c>
      <c r="AB38" s="207">
        <v>-0.14000000000000001</v>
      </c>
      <c r="AC38" s="205" t="s">
        <v>65</v>
      </c>
      <c r="AD38" s="206">
        <v>6.5</v>
      </c>
      <c r="AE38" s="208">
        <v>5000</v>
      </c>
      <c r="AF38" s="205" t="s">
        <v>66</v>
      </c>
      <c r="AG38" s="205">
        <f>$C$2-Y38</f>
        <v>24</v>
      </c>
      <c r="AH38" s="209" cm="1">
        <f t="array" ref="AH38">ImpliedVolatility_kris("c",AA38,$C$3,AG38/365,$C$4,$C$4,AD38,0.01)</f>
        <v>2.1231783154050166</v>
      </c>
      <c r="AN38" s="206">
        <v>23.34</v>
      </c>
      <c r="AO38" s="206">
        <v>23.34</v>
      </c>
    </row>
    <row r="39" spans="3:41" x14ac:dyDescent="0.25">
      <c r="C39" s="151">
        <v>45440</v>
      </c>
      <c r="D39" s="152" t="s">
        <v>57</v>
      </c>
      <c r="E39" s="153">
        <v>25.47</v>
      </c>
      <c r="F39" s="154">
        <v>-0.21</v>
      </c>
      <c r="G39" s="152" t="s">
        <v>67</v>
      </c>
      <c r="H39" s="153">
        <v>8.25</v>
      </c>
      <c r="I39" s="155">
        <v>5000</v>
      </c>
      <c r="J39" s="152" t="s">
        <v>68</v>
      </c>
      <c r="K39" s="152">
        <f>$C$2-C39</f>
        <v>24</v>
      </c>
      <c r="L39" s="166" cm="1">
        <f t="array" ref="L39">ImpliedVolatility_kris("c",E39,$C$3,K39/365,$C$4,$C$4,H39,0.01)</f>
        <v>2.2084306848797413</v>
      </c>
      <c r="M39" s="121"/>
      <c r="N39" s="170">
        <v>45440</v>
      </c>
      <c r="O39" s="171" t="s">
        <v>57</v>
      </c>
      <c r="P39" s="172">
        <v>25.47</v>
      </c>
      <c r="Q39" s="173">
        <v>-0.21</v>
      </c>
      <c r="R39" s="171" t="s">
        <v>67</v>
      </c>
      <c r="S39" s="172">
        <v>8.25</v>
      </c>
      <c r="T39" s="174">
        <v>5000</v>
      </c>
      <c r="U39" s="171" t="s">
        <v>68</v>
      </c>
      <c r="V39" s="171">
        <f>$C$2-N39</f>
        <v>24</v>
      </c>
      <c r="W39" s="175" cm="1">
        <f t="array" ref="W39">ImpliedVolatility_kris("c",P39,$C$3,V39/365,$C$4,$C$4,S39,0.01)</f>
        <v>2.2084306848797413</v>
      </c>
      <c r="Y39" s="192">
        <v>45440</v>
      </c>
      <c r="Z39" s="193" t="s">
        <v>57</v>
      </c>
      <c r="AA39" s="194">
        <v>25.47</v>
      </c>
      <c r="AB39" s="195">
        <v>-0.21</v>
      </c>
      <c r="AC39" s="193" t="s">
        <v>67</v>
      </c>
      <c r="AD39" s="194">
        <v>8.25</v>
      </c>
      <c r="AE39" s="196">
        <v>5000</v>
      </c>
      <c r="AF39" s="193" t="s">
        <v>68</v>
      </c>
      <c r="AG39" s="193">
        <f>$C$2-Y39</f>
        <v>24</v>
      </c>
      <c r="AH39" s="197" cm="1">
        <f t="array" ref="AH39">ImpliedVolatility_kris("c",AA39,$C$3,AG39/365,$C$4,$C$4,AD39,0.01)</f>
        <v>2.2084306848797413</v>
      </c>
      <c r="AN39" s="194">
        <v>25.47</v>
      </c>
      <c r="AO39" s="194">
        <v>25.47</v>
      </c>
    </row>
    <row r="40" spans="3:41" x14ac:dyDescent="0.25">
      <c r="C40" s="161">
        <v>45436</v>
      </c>
      <c r="D40" s="162" t="s">
        <v>69</v>
      </c>
      <c r="E40" s="163">
        <v>18.18</v>
      </c>
      <c r="F40" s="164">
        <v>0.1</v>
      </c>
      <c r="G40" s="162" t="s">
        <v>70</v>
      </c>
      <c r="H40" s="163">
        <v>3.5</v>
      </c>
      <c r="I40" s="165">
        <v>5000</v>
      </c>
      <c r="J40" s="162" t="s">
        <v>71</v>
      </c>
      <c r="K40" s="162">
        <f>$C$2-C40</f>
        <v>28</v>
      </c>
      <c r="L40" s="168" cm="1">
        <f t="array" ref="L40">ImpliedVolatility_kris("c",E40,$C$3,K40/365,$C$4,$C$4,H40,0.01)</f>
        <v>2.0911133210114601</v>
      </c>
      <c r="N40" s="182">
        <v>45436</v>
      </c>
      <c r="O40" s="183" t="s">
        <v>69</v>
      </c>
      <c r="P40" s="184">
        <v>18.18</v>
      </c>
      <c r="Q40" s="185">
        <v>0.1</v>
      </c>
      <c r="R40" s="183" t="s">
        <v>70</v>
      </c>
      <c r="S40" s="184">
        <v>3.5</v>
      </c>
      <c r="T40" s="186">
        <v>5000</v>
      </c>
      <c r="U40" s="183" t="s">
        <v>71</v>
      </c>
      <c r="V40" s="183">
        <f>$C$2-N40</f>
        <v>28</v>
      </c>
      <c r="W40" s="187" cm="1">
        <f t="array" ref="W40">ImpliedVolatility_kris("c",P40,$C$3,V40/365,$C$4,$C$4,S40,0.01)</f>
        <v>2.0911133210114601</v>
      </c>
      <c r="Y40" s="204">
        <v>45436</v>
      </c>
      <c r="Z40" s="205" t="s">
        <v>69</v>
      </c>
      <c r="AA40" s="206">
        <v>18.18</v>
      </c>
      <c r="AB40" s="207">
        <v>0.1</v>
      </c>
      <c r="AC40" s="205" t="s">
        <v>70</v>
      </c>
      <c r="AD40" s="206">
        <v>3.5</v>
      </c>
      <c r="AE40" s="208">
        <v>5000</v>
      </c>
      <c r="AF40" s="205" t="s">
        <v>71</v>
      </c>
      <c r="AG40" s="205">
        <f>$C$2-Y40</f>
        <v>28</v>
      </c>
      <c r="AH40" s="209" cm="1">
        <f t="array" ref="AH40">ImpliedVolatility_kris("c",AA40,$C$3,AG40/365,$C$4,$C$4,AD40,0.01)</f>
        <v>2.0911133210114601</v>
      </c>
      <c r="AN40" s="206">
        <v>18.18</v>
      </c>
      <c r="AO40" s="206">
        <v>18.18</v>
      </c>
    </row>
    <row r="41" spans="3:41" x14ac:dyDescent="0.25">
      <c r="C41" s="151">
        <v>45436</v>
      </c>
      <c r="D41" s="152" t="s">
        <v>57</v>
      </c>
      <c r="E41" s="153">
        <v>18.260000000000002</v>
      </c>
      <c r="F41" s="154">
        <v>0.1</v>
      </c>
      <c r="G41" s="152" t="s">
        <v>72</v>
      </c>
      <c r="H41" s="153">
        <v>3.35</v>
      </c>
      <c r="I41" s="155">
        <v>5000</v>
      </c>
      <c r="J41" s="152" t="s">
        <v>73</v>
      </c>
      <c r="K41" s="152">
        <f>$C$2-C41</f>
        <v>28</v>
      </c>
      <c r="L41" s="166" cm="1">
        <f t="array" ref="L41">ImpliedVolatility_kris("c",E41,$C$3,K41/365,$C$4,$C$4,H41,0.01)</f>
        <v>1.9947097477998832</v>
      </c>
      <c r="N41" s="170">
        <v>45436</v>
      </c>
      <c r="O41" s="171" t="s">
        <v>57</v>
      </c>
      <c r="P41" s="172">
        <v>18.260000000000002</v>
      </c>
      <c r="Q41" s="173">
        <v>0.1</v>
      </c>
      <c r="R41" s="171" t="s">
        <v>72</v>
      </c>
      <c r="S41" s="172">
        <v>3.35</v>
      </c>
      <c r="T41" s="174">
        <v>5000</v>
      </c>
      <c r="U41" s="171" t="s">
        <v>73</v>
      </c>
      <c r="V41" s="171">
        <f>$C$2-N41</f>
        <v>28</v>
      </c>
      <c r="W41" s="175" cm="1">
        <f t="array" ref="W41">ImpliedVolatility_kris("c",P41,$C$3,V41/365,$C$4,$C$4,S41,0.01)</f>
        <v>1.9947097477998832</v>
      </c>
      <c r="Y41" s="192">
        <v>45436</v>
      </c>
      <c r="Z41" s="193" t="s">
        <v>57</v>
      </c>
      <c r="AA41" s="194">
        <v>18.260000000000002</v>
      </c>
      <c r="AB41" s="195">
        <v>0.1</v>
      </c>
      <c r="AC41" s="193" t="s">
        <v>72</v>
      </c>
      <c r="AD41" s="194">
        <v>3.35</v>
      </c>
      <c r="AE41" s="196">
        <v>5000</v>
      </c>
      <c r="AF41" s="193" t="s">
        <v>73</v>
      </c>
      <c r="AG41" s="193">
        <f>$C$2-Y41</f>
        <v>28</v>
      </c>
      <c r="AH41" s="197" cm="1">
        <f t="array" ref="AH41">ImpliedVolatility_kris("c",AA41,$C$3,AG41/365,$C$4,$C$4,AD41,0.01)</f>
        <v>1.9947097477998832</v>
      </c>
      <c r="AN41" s="194">
        <v>18.260000000000002</v>
      </c>
      <c r="AO41" s="194">
        <v>18.260000000000002</v>
      </c>
    </row>
    <row r="42" spans="3:41" x14ac:dyDescent="0.25">
      <c r="C42" s="161">
        <v>45434</v>
      </c>
      <c r="D42" s="162" t="s">
        <v>57</v>
      </c>
      <c r="E42" s="163">
        <v>21.62</v>
      </c>
      <c r="F42" s="164">
        <v>-7.0000000000000007E-2</v>
      </c>
      <c r="G42" s="162" t="s">
        <v>74</v>
      </c>
      <c r="H42" s="163">
        <v>6.75</v>
      </c>
      <c r="I42" s="165">
        <v>5000</v>
      </c>
      <c r="J42" s="162" t="s">
        <v>75</v>
      </c>
      <c r="K42" s="162">
        <f>$C$2-C42</f>
        <v>30</v>
      </c>
      <c r="L42" s="168" cm="1">
        <f t="array" ref="L42">ImpliedVolatility_kris("c",E42,$C$3,K42/365,$C$4,$C$4,H42,0.01)</f>
        <v>2.5358839671580538</v>
      </c>
      <c r="N42" s="182">
        <v>45434</v>
      </c>
      <c r="O42" s="183" t="s">
        <v>57</v>
      </c>
      <c r="P42" s="184">
        <v>21.62</v>
      </c>
      <c r="Q42" s="185">
        <v>-7.0000000000000007E-2</v>
      </c>
      <c r="R42" s="183" t="s">
        <v>74</v>
      </c>
      <c r="S42" s="184">
        <v>6.75</v>
      </c>
      <c r="T42" s="186">
        <v>5000</v>
      </c>
      <c r="U42" s="183" t="s">
        <v>75</v>
      </c>
      <c r="V42" s="183">
        <f>$C$2-N42</f>
        <v>30</v>
      </c>
      <c r="W42" s="187" cm="1">
        <f t="array" ref="W42">ImpliedVolatility_kris("c",P42,$C$3,V42/365,$C$4,$C$4,S42,0.01)</f>
        <v>2.5358839671580538</v>
      </c>
      <c r="Y42" s="204">
        <v>45434</v>
      </c>
      <c r="Z42" s="205" t="s">
        <v>57</v>
      </c>
      <c r="AA42" s="206">
        <v>21.62</v>
      </c>
      <c r="AB42" s="207">
        <v>-7.0000000000000007E-2</v>
      </c>
      <c r="AC42" s="205" t="s">
        <v>74</v>
      </c>
      <c r="AD42" s="206">
        <v>6.75</v>
      </c>
      <c r="AE42" s="208">
        <v>5000</v>
      </c>
      <c r="AF42" s="205" t="s">
        <v>75</v>
      </c>
      <c r="AG42" s="205">
        <f>$C$2-Y42</f>
        <v>30</v>
      </c>
      <c r="AH42" s="209" cm="1">
        <f t="array" ref="AH42">ImpliedVolatility_kris("c",AA42,$C$3,AG42/365,$C$4,$C$4,AD42,0.01)</f>
        <v>2.5358839671580538</v>
      </c>
      <c r="AN42" s="206">
        <v>21.62</v>
      </c>
      <c r="AO42" s="206">
        <v>21.62</v>
      </c>
    </row>
    <row r="43" spans="3:41" x14ac:dyDescent="0.25">
      <c r="C43" s="151">
        <v>45434</v>
      </c>
      <c r="D43" s="152" t="s">
        <v>62</v>
      </c>
      <c r="E43" s="153">
        <v>22.01</v>
      </c>
      <c r="F43" s="154">
        <v>-0.09</v>
      </c>
      <c r="G43" s="152" t="s">
        <v>76</v>
      </c>
      <c r="H43" s="153">
        <v>7.25</v>
      </c>
      <c r="I43" s="155">
        <v>1462</v>
      </c>
      <c r="J43" s="152" t="s">
        <v>77</v>
      </c>
      <c r="K43" s="152">
        <f>$C$2-C43</f>
        <v>30</v>
      </c>
      <c r="L43" s="166" cm="1">
        <f t="array" ref="L43">ImpliedVolatility_kris("c",E43,$C$3,K43/365,$C$4,$C$4,H43,0.01)</f>
        <v>2.6381330947311623</v>
      </c>
      <c r="N43" s="170">
        <v>45434</v>
      </c>
      <c r="O43" s="171" t="s">
        <v>62</v>
      </c>
      <c r="P43" s="172">
        <v>22.01</v>
      </c>
      <c r="Q43" s="173">
        <v>-0.09</v>
      </c>
      <c r="R43" s="171" t="s">
        <v>76</v>
      </c>
      <c r="S43" s="172">
        <v>7.25</v>
      </c>
      <c r="T43" s="174">
        <v>1462</v>
      </c>
      <c r="U43" s="171" t="s">
        <v>77</v>
      </c>
      <c r="V43" s="171">
        <f>$C$2-N43</f>
        <v>30</v>
      </c>
      <c r="W43" s="175" cm="1">
        <f t="array" ref="W43">ImpliedVolatility_kris("c",P43,$C$3,V43/365,$C$4,$C$4,S43,0.01)</f>
        <v>2.6381330947311623</v>
      </c>
      <c r="Y43" s="192">
        <v>45434</v>
      </c>
      <c r="Z43" s="193" t="s">
        <v>62</v>
      </c>
      <c r="AA43" s="194">
        <v>22.01</v>
      </c>
      <c r="AB43" s="195">
        <v>-0.09</v>
      </c>
      <c r="AC43" s="193" t="s">
        <v>76</v>
      </c>
      <c r="AD43" s="194">
        <v>7.25</v>
      </c>
      <c r="AE43" s="196">
        <v>1462</v>
      </c>
      <c r="AF43" s="193" t="s">
        <v>77</v>
      </c>
      <c r="AG43" s="193">
        <f>$C$2-Y43</f>
        <v>30</v>
      </c>
      <c r="AH43" s="197" cm="1">
        <f t="array" ref="AH43">ImpliedVolatility_kris("c",AA43,$C$3,AG43/365,$C$4,$C$4,AD43,0.01)</f>
        <v>2.6381330947311623</v>
      </c>
      <c r="AN43" s="194">
        <v>22.01</v>
      </c>
      <c r="AO43" s="194">
        <v>22.01</v>
      </c>
    </row>
    <row r="44" spans="3:41" x14ac:dyDescent="0.25">
      <c r="C44" s="151">
        <v>45434</v>
      </c>
      <c r="D44" s="152" t="s">
        <v>57</v>
      </c>
      <c r="E44" s="153">
        <v>21.91</v>
      </c>
      <c r="F44" s="154">
        <v>-0.09</v>
      </c>
      <c r="G44" s="152" t="s">
        <v>78</v>
      </c>
      <c r="H44" s="153">
        <v>7.05</v>
      </c>
      <c r="I44" s="155">
        <v>5000</v>
      </c>
      <c r="J44" s="152" t="s">
        <v>79</v>
      </c>
      <c r="K44" s="152">
        <f>$C$2-C44</f>
        <v>30</v>
      </c>
      <c r="L44" s="166" cm="1">
        <f t="array" ref="L44">ImpliedVolatility_kris("c",E44,$C$3,K44/365,$C$4,$C$4,H44,0.01)</f>
        <v>2.5801139107626407</v>
      </c>
      <c r="N44" s="170">
        <v>45434</v>
      </c>
      <c r="O44" s="171" t="s">
        <v>57</v>
      </c>
      <c r="P44" s="172">
        <v>21.91</v>
      </c>
      <c r="Q44" s="173">
        <v>-0.09</v>
      </c>
      <c r="R44" s="171" t="s">
        <v>78</v>
      </c>
      <c r="S44" s="172">
        <v>7.05</v>
      </c>
      <c r="T44" s="174">
        <v>5000</v>
      </c>
      <c r="U44" s="171" t="s">
        <v>79</v>
      </c>
      <c r="V44" s="171">
        <f>$C$2-N44</f>
        <v>30</v>
      </c>
      <c r="W44" s="175" cm="1">
        <f t="array" ref="W44">ImpliedVolatility_kris("c",P44,$C$3,V44/365,$C$4,$C$4,S44,0.01)</f>
        <v>2.5801139107626407</v>
      </c>
      <c r="Y44" s="192">
        <v>45434</v>
      </c>
      <c r="Z44" s="193" t="s">
        <v>57</v>
      </c>
      <c r="AA44" s="194">
        <v>21.91</v>
      </c>
      <c r="AB44" s="195">
        <v>-0.09</v>
      </c>
      <c r="AC44" s="193" t="s">
        <v>78</v>
      </c>
      <c r="AD44" s="194">
        <v>7.05</v>
      </c>
      <c r="AE44" s="196">
        <v>5000</v>
      </c>
      <c r="AF44" s="193" t="s">
        <v>79</v>
      </c>
      <c r="AG44" s="193">
        <f>$C$2-Y44</f>
        <v>30</v>
      </c>
      <c r="AH44" s="197" cm="1">
        <f t="array" ref="AH44">ImpliedVolatility_kris("c",AA44,$C$3,AG44/365,$C$4,$C$4,AD44,0.01)</f>
        <v>2.5801139107626407</v>
      </c>
      <c r="AN44" s="194">
        <v>21.91</v>
      </c>
      <c r="AO44" s="194">
        <v>21.91</v>
      </c>
    </row>
    <row r="45" spans="3:41" x14ac:dyDescent="0.25">
      <c r="C45" s="151">
        <v>45434</v>
      </c>
      <c r="D45" s="152" t="s">
        <v>57</v>
      </c>
      <c r="E45" s="153">
        <v>22.02</v>
      </c>
      <c r="F45" s="154">
        <v>-0.09</v>
      </c>
      <c r="G45" s="152" t="s">
        <v>80</v>
      </c>
      <c r="H45" s="153">
        <v>6.7</v>
      </c>
      <c r="I45" s="155">
        <v>5000</v>
      </c>
      <c r="J45" s="152" t="s">
        <v>81</v>
      </c>
      <c r="K45" s="152">
        <f>$C$2-C45</f>
        <v>30</v>
      </c>
      <c r="L45" s="166" cm="1">
        <f t="array" ref="L45">ImpliedVolatility_kris("c",E45,$C$3,K45/365,$C$4,$C$4,H45,0.01)</f>
        <v>2.3893449376952458</v>
      </c>
      <c r="N45" s="170">
        <v>45434</v>
      </c>
      <c r="O45" s="171" t="s">
        <v>57</v>
      </c>
      <c r="P45" s="172">
        <v>22.02</v>
      </c>
      <c r="Q45" s="173">
        <v>-0.09</v>
      </c>
      <c r="R45" s="171" t="s">
        <v>80</v>
      </c>
      <c r="S45" s="172">
        <v>6.7</v>
      </c>
      <c r="T45" s="174">
        <v>5000</v>
      </c>
      <c r="U45" s="171" t="s">
        <v>81</v>
      </c>
      <c r="V45" s="171">
        <f>$C$2-N45</f>
        <v>30</v>
      </c>
      <c r="W45" s="175" cm="1">
        <f t="array" ref="W45">ImpliedVolatility_kris("c",P45,$C$3,V45/365,$C$4,$C$4,S45,0.01)</f>
        <v>2.3893449376952458</v>
      </c>
      <c r="Y45" s="192">
        <v>45434</v>
      </c>
      <c r="Z45" s="193" t="s">
        <v>57</v>
      </c>
      <c r="AA45" s="194">
        <v>22.02</v>
      </c>
      <c r="AB45" s="195">
        <v>-0.09</v>
      </c>
      <c r="AC45" s="193" t="s">
        <v>80</v>
      </c>
      <c r="AD45" s="194">
        <v>6.7</v>
      </c>
      <c r="AE45" s="196">
        <v>5000</v>
      </c>
      <c r="AF45" s="193" t="s">
        <v>81</v>
      </c>
      <c r="AG45" s="193">
        <f>$C$2-Y45</f>
        <v>30</v>
      </c>
      <c r="AH45" s="197" cm="1">
        <f t="array" ref="AH45">ImpliedVolatility_kris("c",AA45,$C$3,AG45/365,$C$4,$C$4,AD45,0.01)</f>
        <v>2.3893449376952458</v>
      </c>
      <c r="AN45" s="194">
        <v>22.02</v>
      </c>
      <c r="AO45" s="194">
        <v>22.02</v>
      </c>
    </row>
    <row r="46" spans="3:41" x14ac:dyDescent="0.25">
      <c r="C46" s="151">
        <v>45434</v>
      </c>
      <c r="D46" s="152" t="s">
        <v>57</v>
      </c>
      <c r="E46" s="153">
        <v>21.63</v>
      </c>
      <c r="F46" s="154">
        <v>-0.08</v>
      </c>
      <c r="G46" s="152" t="s">
        <v>82</v>
      </c>
      <c r="H46" s="153">
        <v>6.25</v>
      </c>
      <c r="I46" s="155">
        <v>5000</v>
      </c>
      <c r="J46" s="152" t="s">
        <v>83</v>
      </c>
      <c r="K46" s="152">
        <f>$C$2-C46</f>
        <v>30</v>
      </c>
      <c r="L46" s="166" cm="1">
        <f t="array" ref="L46">ImpliedVolatility_kris("c",E46,$C$3,K46/365,$C$4,$C$4,H46,0.01)</f>
        <v>2.3084065758099475</v>
      </c>
      <c r="N46" s="170">
        <v>45434</v>
      </c>
      <c r="O46" s="171" t="s">
        <v>57</v>
      </c>
      <c r="P46" s="172">
        <v>21.63</v>
      </c>
      <c r="Q46" s="173">
        <v>-0.08</v>
      </c>
      <c r="R46" s="171" t="s">
        <v>82</v>
      </c>
      <c r="S46" s="172">
        <v>6.25</v>
      </c>
      <c r="T46" s="174">
        <v>5000</v>
      </c>
      <c r="U46" s="171" t="s">
        <v>83</v>
      </c>
      <c r="V46" s="171">
        <f>$C$2-N46</f>
        <v>30</v>
      </c>
      <c r="W46" s="175" cm="1">
        <f t="array" ref="W46">ImpliedVolatility_kris("c",P46,$C$3,V46/365,$C$4,$C$4,S46,0.01)</f>
        <v>2.3084065758099475</v>
      </c>
      <c r="Y46" s="192">
        <v>45434</v>
      </c>
      <c r="Z46" s="193" t="s">
        <v>57</v>
      </c>
      <c r="AA46" s="194">
        <v>21.63</v>
      </c>
      <c r="AB46" s="195">
        <v>-0.08</v>
      </c>
      <c r="AC46" s="193" t="s">
        <v>82</v>
      </c>
      <c r="AD46" s="194">
        <v>6.25</v>
      </c>
      <c r="AE46" s="196">
        <v>5000</v>
      </c>
      <c r="AF46" s="193" t="s">
        <v>83</v>
      </c>
      <c r="AG46" s="193">
        <f>$C$2-Y46</f>
        <v>30</v>
      </c>
      <c r="AH46" s="197" cm="1">
        <f t="array" ref="AH46">ImpliedVolatility_kris("c",AA46,$C$3,AG46/365,$C$4,$C$4,AD46,0.01)</f>
        <v>2.3084065758099475</v>
      </c>
      <c r="AN46" s="194">
        <v>21.63</v>
      </c>
      <c r="AO46" s="194">
        <v>21.63</v>
      </c>
    </row>
    <row r="47" spans="3:41" x14ac:dyDescent="0.25">
      <c r="C47" s="151">
        <v>45434</v>
      </c>
      <c r="D47" s="152" t="s">
        <v>57</v>
      </c>
      <c r="E47" s="153">
        <v>20</v>
      </c>
      <c r="F47" s="154">
        <v>-0.08</v>
      </c>
      <c r="G47" s="152" t="s">
        <v>84</v>
      </c>
      <c r="H47" s="153">
        <v>6.2</v>
      </c>
      <c r="I47" s="155">
        <v>5000</v>
      </c>
      <c r="J47" s="152" t="s">
        <v>85</v>
      </c>
      <c r="K47" s="152">
        <f>$C$2-C47</f>
        <v>30</v>
      </c>
      <c r="L47" s="166" cm="1">
        <f t="array" ref="L47">ImpliedVolatility_kris("c",E47,$C$3,K47/365,$C$4,$C$4,H47,0.01)</f>
        <v>2.7823505435170421</v>
      </c>
      <c r="N47" s="170">
        <v>45434</v>
      </c>
      <c r="O47" s="171" t="s">
        <v>57</v>
      </c>
      <c r="P47" s="172">
        <v>20</v>
      </c>
      <c r="Q47" s="173">
        <v>-0.08</v>
      </c>
      <c r="R47" s="171" t="s">
        <v>84</v>
      </c>
      <c r="S47" s="172">
        <v>6.2</v>
      </c>
      <c r="T47" s="174">
        <v>5000</v>
      </c>
      <c r="U47" s="171" t="s">
        <v>85</v>
      </c>
      <c r="V47" s="171">
        <f>$C$2-N47</f>
        <v>30</v>
      </c>
      <c r="W47" s="175" cm="1">
        <f t="array" ref="W47">ImpliedVolatility_kris("c",P47,$C$3,V47/365,$C$4,$C$4,S47,0.01)</f>
        <v>2.7823505435170421</v>
      </c>
      <c r="Y47" s="192">
        <v>45434</v>
      </c>
      <c r="Z47" s="193" t="s">
        <v>57</v>
      </c>
      <c r="AA47" s="194">
        <v>20</v>
      </c>
      <c r="AB47" s="195">
        <v>-0.08</v>
      </c>
      <c r="AC47" s="193" t="s">
        <v>84</v>
      </c>
      <c r="AD47" s="194">
        <v>6.2</v>
      </c>
      <c r="AE47" s="196">
        <v>5000</v>
      </c>
      <c r="AF47" s="193" t="s">
        <v>85</v>
      </c>
      <c r="AG47" s="193">
        <f>$C$2-Y47</f>
        <v>30</v>
      </c>
      <c r="AH47" s="197" cm="1">
        <f t="array" ref="AH47">ImpliedVolatility_kris("c",AA47,$C$3,AG47/365,$C$4,$C$4,AD47,0.01)</f>
        <v>2.7823505435170421</v>
      </c>
      <c r="AN47" s="194">
        <v>20</v>
      </c>
      <c r="AO47" s="194">
        <v>20</v>
      </c>
    </row>
    <row r="48" spans="3:41" x14ac:dyDescent="0.25">
      <c r="C48" s="151">
        <v>45434</v>
      </c>
      <c r="D48" s="152" t="s">
        <v>57</v>
      </c>
      <c r="E48" s="153">
        <v>21</v>
      </c>
      <c r="F48" s="154">
        <v>-0.06</v>
      </c>
      <c r="G48" s="152" t="s">
        <v>86</v>
      </c>
      <c r="H48" s="153">
        <v>5.8</v>
      </c>
      <c r="I48" s="155">
        <v>5000</v>
      </c>
      <c r="J48" s="152" t="s">
        <v>87</v>
      </c>
      <c r="K48" s="152">
        <f>$C$2-C48</f>
        <v>30</v>
      </c>
      <c r="L48" s="166" cm="1">
        <f t="array" ref="L48">ImpliedVolatility_kris("c",E48,$C$3,K48/365,$C$4,$C$4,H48,0.01)</f>
        <v>2.295190509001106</v>
      </c>
      <c r="N48" s="170">
        <v>45434</v>
      </c>
      <c r="O48" s="171" t="s">
        <v>57</v>
      </c>
      <c r="P48" s="172">
        <v>21</v>
      </c>
      <c r="Q48" s="173">
        <v>-0.06</v>
      </c>
      <c r="R48" s="171" t="s">
        <v>86</v>
      </c>
      <c r="S48" s="172">
        <v>5.8</v>
      </c>
      <c r="T48" s="174">
        <v>5000</v>
      </c>
      <c r="U48" s="171" t="s">
        <v>87</v>
      </c>
      <c r="V48" s="171">
        <f>$C$2-N48</f>
        <v>30</v>
      </c>
      <c r="W48" s="175" cm="1">
        <f t="array" ref="W48">ImpliedVolatility_kris("c",P48,$C$3,V48/365,$C$4,$C$4,S48,0.01)</f>
        <v>2.295190509001106</v>
      </c>
      <c r="Y48" s="192">
        <v>45434</v>
      </c>
      <c r="Z48" s="193" t="s">
        <v>57</v>
      </c>
      <c r="AA48" s="194">
        <v>21</v>
      </c>
      <c r="AB48" s="195">
        <v>-0.06</v>
      </c>
      <c r="AC48" s="193" t="s">
        <v>86</v>
      </c>
      <c r="AD48" s="194">
        <v>5.8</v>
      </c>
      <c r="AE48" s="196">
        <v>5000</v>
      </c>
      <c r="AF48" s="193" t="s">
        <v>87</v>
      </c>
      <c r="AG48" s="193">
        <f>$C$2-Y48</f>
        <v>30</v>
      </c>
      <c r="AH48" s="197" cm="1">
        <f t="array" ref="AH48">ImpliedVolatility_kris("c",AA48,$C$3,AG48/365,$C$4,$C$4,AD48,0.01)</f>
        <v>2.295190509001106</v>
      </c>
      <c r="AN48" s="194">
        <v>21</v>
      </c>
      <c r="AO48" s="194">
        <v>21</v>
      </c>
    </row>
    <row r="49" spans="3:41" x14ac:dyDescent="0.25">
      <c r="C49" s="151">
        <v>45434</v>
      </c>
      <c r="D49" s="152" t="s">
        <v>57</v>
      </c>
      <c r="E49" s="153">
        <v>21.31</v>
      </c>
      <c r="F49" s="154">
        <v>-0.06</v>
      </c>
      <c r="G49" s="152" t="s">
        <v>88</v>
      </c>
      <c r="H49" s="153">
        <v>5.85</v>
      </c>
      <c r="I49" s="155">
        <v>5000</v>
      </c>
      <c r="J49" s="152" t="s">
        <v>89</v>
      </c>
      <c r="K49" s="152">
        <f>$C$2-C49</f>
        <v>30</v>
      </c>
      <c r="L49" s="166" cm="1">
        <f t="array" ref="L49">ImpliedVolatility_kris("c",E49,$C$3,K49/365,$C$4,$C$4,H49,0.01)</f>
        <v>2.2255865266939332</v>
      </c>
      <c r="N49" s="170">
        <v>45434</v>
      </c>
      <c r="O49" s="171" t="s">
        <v>57</v>
      </c>
      <c r="P49" s="172">
        <v>21.31</v>
      </c>
      <c r="Q49" s="173">
        <v>-0.06</v>
      </c>
      <c r="R49" s="171" t="s">
        <v>88</v>
      </c>
      <c r="S49" s="172">
        <v>5.85</v>
      </c>
      <c r="T49" s="174">
        <v>5000</v>
      </c>
      <c r="U49" s="171" t="s">
        <v>89</v>
      </c>
      <c r="V49" s="171">
        <f>$C$2-N49</f>
        <v>30</v>
      </c>
      <c r="W49" s="175" cm="1">
        <f t="array" ref="W49">ImpliedVolatility_kris("c",P49,$C$3,V49/365,$C$4,$C$4,S49,0.01)</f>
        <v>2.2255865266939332</v>
      </c>
      <c r="Y49" s="192">
        <v>45434</v>
      </c>
      <c r="Z49" s="193" t="s">
        <v>57</v>
      </c>
      <c r="AA49" s="194">
        <v>21.31</v>
      </c>
      <c r="AB49" s="195">
        <v>-0.06</v>
      </c>
      <c r="AC49" s="193" t="s">
        <v>88</v>
      </c>
      <c r="AD49" s="194">
        <v>5.85</v>
      </c>
      <c r="AE49" s="196">
        <v>5000</v>
      </c>
      <c r="AF49" s="193" t="s">
        <v>89</v>
      </c>
      <c r="AG49" s="193">
        <f>$C$2-Y49</f>
        <v>30</v>
      </c>
      <c r="AH49" s="197" cm="1">
        <f t="array" ref="AH49">ImpliedVolatility_kris("c",AA49,$C$3,AG49/365,$C$4,$C$4,AD49,0.01)</f>
        <v>2.2255865266939332</v>
      </c>
      <c r="AN49" s="194">
        <v>21.31</v>
      </c>
      <c r="AO49" s="194">
        <v>21.31</v>
      </c>
    </row>
    <row r="50" spans="3:41" x14ac:dyDescent="0.25">
      <c r="C50" s="151">
        <v>45434</v>
      </c>
      <c r="D50" s="152" t="s">
        <v>57</v>
      </c>
      <c r="E50" s="153">
        <v>21.03</v>
      </c>
      <c r="F50" s="154">
        <v>-0.05</v>
      </c>
      <c r="G50" s="152" t="s">
        <v>90</v>
      </c>
      <c r="H50" s="153">
        <v>5.5</v>
      </c>
      <c r="I50" s="155">
        <v>5000</v>
      </c>
      <c r="J50" s="152" t="s">
        <v>64</v>
      </c>
      <c r="K50" s="152">
        <f>$C$2-C50</f>
        <v>30</v>
      </c>
      <c r="L50" s="166" cm="1">
        <f t="array" ref="L50">ImpliedVolatility_kris("c",E50,$C$3,K50/365,$C$4,$C$4,H50,0.01)</f>
        <v>2.1513375942747253</v>
      </c>
      <c r="N50" s="170">
        <v>45434</v>
      </c>
      <c r="O50" s="171" t="s">
        <v>57</v>
      </c>
      <c r="P50" s="172">
        <v>21.03</v>
      </c>
      <c r="Q50" s="173">
        <v>-0.05</v>
      </c>
      <c r="R50" s="171" t="s">
        <v>90</v>
      </c>
      <c r="S50" s="172">
        <v>5.5</v>
      </c>
      <c r="T50" s="174">
        <v>5000</v>
      </c>
      <c r="U50" s="171" t="s">
        <v>64</v>
      </c>
      <c r="V50" s="171">
        <f>$C$2-N50</f>
        <v>30</v>
      </c>
      <c r="W50" s="175" cm="1">
        <f t="array" ref="W50">ImpliedVolatility_kris("c",P50,$C$3,V50/365,$C$4,$C$4,S50,0.01)</f>
        <v>2.1513375942747253</v>
      </c>
      <c r="Y50" s="192">
        <v>45434</v>
      </c>
      <c r="Z50" s="193" t="s">
        <v>57</v>
      </c>
      <c r="AA50" s="194">
        <v>21.03</v>
      </c>
      <c r="AB50" s="195">
        <v>-0.05</v>
      </c>
      <c r="AC50" s="193" t="s">
        <v>90</v>
      </c>
      <c r="AD50" s="194">
        <v>5.5</v>
      </c>
      <c r="AE50" s="196">
        <v>5000</v>
      </c>
      <c r="AF50" s="193" t="s">
        <v>64</v>
      </c>
      <c r="AG50" s="193">
        <f>$C$2-Y50</f>
        <v>30</v>
      </c>
      <c r="AH50" s="197" cm="1">
        <f t="array" ref="AH50">ImpliedVolatility_kris("c",AA50,$C$3,AG50/365,$C$4,$C$4,AD50,0.01)</f>
        <v>2.1513375942747253</v>
      </c>
      <c r="AN50" s="194">
        <v>21.03</v>
      </c>
      <c r="AO50" s="194">
        <v>21.03</v>
      </c>
    </row>
    <row r="51" spans="3:41" x14ac:dyDescent="0.25">
      <c r="C51" s="151">
        <v>45434</v>
      </c>
      <c r="D51" s="152" t="s">
        <v>69</v>
      </c>
      <c r="E51" s="153">
        <v>20.98</v>
      </c>
      <c r="F51" s="154">
        <v>-0.05</v>
      </c>
      <c r="G51" s="152" t="s">
        <v>91</v>
      </c>
      <c r="H51" s="153">
        <v>5</v>
      </c>
      <c r="I51" s="155">
        <v>5000</v>
      </c>
      <c r="J51" s="152" t="s">
        <v>92</v>
      </c>
      <c r="K51" s="152">
        <f>$C$2-C51</f>
        <v>30</v>
      </c>
      <c r="L51" s="166" cm="1">
        <f t="array" ref="L51">ImpliedVolatility_kris("c",E51,$C$3,K51/365,$C$4,$C$4,H51,0.01)</f>
        <v>1.9423572612837354</v>
      </c>
      <c r="N51" s="170">
        <v>45434</v>
      </c>
      <c r="O51" s="171" t="s">
        <v>69</v>
      </c>
      <c r="P51" s="172">
        <v>20.98</v>
      </c>
      <c r="Q51" s="173">
        <v>-0.05</v>
      </c>
      <c r="R51" s="171" t="s">
        <v>91</v>
      </c>
      <c r="S51" s="172">
        <v>5</v>
      </c>
      <c r="T51" s="174">
        <v>5000</v>
      </c>
      <c r="U51" s="171" t="s">
        <v>92</v>
      </c>
      <c r="V51" s="171">
        <f>$C$2-N51</f>
        <v>30</v>
      </c>
      <c r="W51" s="175" cm="1">
        <f t="array" ref="W51">ImpliedVolatility_kris("c",P51,$C$3,V51/365,$C$4,$C$4,S51,0.01)</f>
        <v>1.9423572612837354</v>
      </c>
      <c r="Y51" s="192">
        <v>45434</v>
      </c>
      <c r="Z51" s="193" t="s">
        <v>69</v>
      </c>
      <c r="AA51" s="194">
        <v>20.98</v>
      </c>
      <c r="AB51" s="195">
        <v>-0.05</v>
      </c>
      <c r="AC51" s="193" t="s">
        <v>91</v>
      </c>
      <c r="AD51" s="194">
        <v>5</v>
      </c>
      <c r="AE51" s="196">
        <v>5000</v>
      </c>
      <c r="AF51" s="193" t="s">
        <v>92</v>
      </c>
      <c r="AG51" s="193">
        <f>$C$2-Y51</f>
        <v>30</v>
      </c>
      <c r="AH51" s="197" cm="1">
        <f t="array" ref="AH51">ImpliedVolatility_kris("c",AA51,$C$3,AG51/365,$C$4,$C$4,AD51,0.01)</f>
        <v>1.9423572612837354</v>
      </c>
      <c r="AN51" s="194">
        <v>20.98</v>
      </c>
      <c r="AO51" s="194">
        <v>20.98</v>
      </c>
    </row>
    <row r="52" spans="3:41" x14ac:dyDescent="0.25">
      <c r="C52" s="151">
        <v>45434</v>
      </c>
      <c r="D52" s="152" t="s">
        <v>62</v>
      </c>
      <c r="E52" s="153">
        <v>21.05</v>
      </c>
      <c r="F52" s="154">
        <v>-0.05</v>
      </c>
      <c r="G52" s="152" t="s">
        <v>93</v>
      </c>
      <c r="H52" s="153">
        <v>5</v>
      </c>
      <c r="I52" s="155">
        <v>5000</v>
      </c>
      <c r="J52" s="152" t="s">
        <v>92</v>
      </c>
      <c r="K52" s="152">
        <f>$C$2-C52</f>
        <v>30</v>
      </c>
      <c r="L52" s="166" cm="1">
        <f t="array" ref="L52">ImpliedVolatility_kris("c",E52,$C$3,K52/365,$C$4,$C$4,H52,0.01)</f>
        <v>1.9223200473527291</v>
      </c>
      <c r="N52" s="170">
        <v>45434</v>
      </c>
      <c r="O52" s="171" t="s">
        <v>62</v>
      </c>
      <c r="P52" s="172">
        <v>21.05</v>
      </c>
      <c r="Q52" s="173">
        <v>-0.05</v>
      </c>
      <c r="R52" s="171" t="s">
        <v>93</v>
      </c>
      <c r="S52" s="172">
        <v>5</v>
      </c>
      <c r="T52" s="174">
        <v>5000</v>
      </c>
      <c r="U52" s="171" t="s">
        <v>92</v>
      </c>
      <c r="V52" s="171">
        <f>$C$2-N52</f>
        <v>30</v>
      </c>
      <c r="W52" s="175" cm="1">
        <f t="array" ref="W52">ImpliedVolatility_kris("c",P52,$C$3,V52/365,$C$4,$C$4,S52,0.01)</f>
        <v>1.9223200473527291</v>
      </c>
      <c r="Y52" s="192">
        <v>45434</v>
      </c>
      <c r="Z52" s="193" t="s">
        <v>62</v>
      </c>
      <c r="AA52" s="194">
        <v>21.05</v>
      </c>
      <c r="AB52" s="195">
        <v>-0.05</v>
      </c>
      <c r="AC52" s="193" t="s">
        <v>93</v>
      </c>
      <c r="AD52" s="194">
        <v>5</v>
      </c>
      <c r="AE52" s="196">
        <v>5000</v>
      </c>
      <c r="AF52" s="193" t="s">
        <v>92</v>
      </c>
      <c r="AG52" s="193">
        <f>$C$2-Y52</f>
        <v>30</v>
      </c>
      <c r="AH52" s="197" cm="1">
        <f t="array" ref="AH52">ImpliedVolatility_kris("c",AA52,$C$3,AG52/365,$C$4,$C$4,AD52,0.01)</f>
        <v>1.9223200473527291</v>
      </c>
      <c r="AN52" s="194">
        <v>21.05</v>
      </c>
      <c r="AO52" s="194">
        <v>21.05</v>
      </c>
    </row>
    <row r="53" spans="3:41" x14ac:dyDescent="0.25">
      <c r="C53" s="151">
        <v>45434</v>
      </c>
      <c r="D53" s="152" t="s">
        <v>57</v>
      </c>
      <c r="E53" s="153">
        <v>21.08</v>
      </c>
      <c r="F53" s="154">
        <v>-0.05</v>
      </c>
      <c r="G53" s="152" t="s">
        <v>94</v>
      </c>
      <c r="H53" s="153">
        <v>5</v>
      </c>
      <c r="I53" s="155">
        <v>5000</v>
      </c>
      <c r="J53" s="152" t="s">
        <v>92</v>
      </c>
      <c r="K53" s="152">
        <f>$C$2-C53</f>
        <v>30</v>
      </c>
      <c r="L53" s="166" cm="1">
        <f t="array" ref="L53">ImpliedVolatility_kris("c",E53,$C$3,K53/365,$C$4,$C$4,H53,0.01)</f>
        <v>1.9137285245239775</v>
      </c>
      <c r="N53" s="170">
        <v>45434</v>
      </c>
      <c r="O53" s="171" t="s">
        <v>57</v>
      </c>
      <c r="P53" s="172">
        <v>21.08</v>
      </c>
      <c r="Q53" s="173">
        <v>-0.05</v>
      </c>
      <c r="R53" s="171" t="s">
        <v>94</v>
      </c>
      <c r="S53" s="172">
        <v>5</v>
      </c>
      <c r="T53" s="174">
        <v>5000</v>
      </c>
      <c r="U53" s="171" t="s">
        <v>92</v>
      </c>
      <c r="V53" s="171">
        <f>$C$2-N53</f>
        <v>30</v>
      </c>
      <c r="W53" s="175" cm="1">
        <f t="array" ref="W53">ImpliedVolatility_kris("c",P53,$C$3,V53/365,$C$4,$C$4,S53,0.01)</f>
        <v>1.9137285245239775</v>
      </c>
      <c r="Y53" s="192">
        <v>45434</v>
      </c>
      <c r="Z53" s="193" t="s">
        <v>57</v>
      </c>
      <c r="AA53" s="194">
        <v>21.08</v>
      </c>
      <c r="AB53" s="195">
        <v>-0.05</v>
      </c>
      <c r="AC53" s="193" t="s">
        <v>94</v>
      </c>
      <c r="AD53" s="194">
        <v>5</v>
      </c>
      <c r="AE53" s="196">
        <v>5000</v>
      </c>
      <c r="AF53" s="193" t="s">
        <v>92</v>
      </c>
      <c r="AG53" s="193">
        <f>$C$2-Y53</f>
        <v>30</v>
      </c>
      <c r="AH53" s="197" cm="1">
        <f t="array" ref="AH53">ImpliedVolatility_kris("c",AA53,$C$3,AG53/365,$C$4,$C$4,AD53,0.01)</f>
        <v>1.9137285245239775</v>
      </c>
      <c r="AN53" s="194">
        <v>21.08</v>
      </c>
      <c r="AO53" s="194">
        <v>21.08</v>
      </c>
    </row>
    <row r="54" spans="3:41" x14ac:dyDescent="0.25">
      <c r="C54" s="151">
        <v>45434</v>
      </c>
      <c r="D54" s="152" t="s">
        <v>57</v>
      </c>
      <c r="E54" s="153">
        <v>21.04</v>
      </c>
      <c r="F54" s="154">
        <v>-0.05</v>
      </c>
      <c r="G54" s="152" t="s">
        <v>94</v>
      </c>
      <c r="H54" s="153">
        <v>5</v>
      </c>
      <c r="I54" s="155">
        <v>5000</v>
      </c>
      <c r="J54" s="152" t="s">
        <v>92</v>
      </c>
      <c r="K54" s="152">
        <f>$C$2-C54</f>
        <v>30</v>
      </c>
      <c r="L54" s="166" cm="1">
        <f t="array" ref="L54">ImpliedVolatility_kris("c",E54,$C$3,K54/365,$C$4,$C$4,H54,0.01)</f>
        <v>1.9251833047113274</v>
      </c>
      <c r="N54" s="170">
        <v>45434</v>
      </c>
      <c r="O54" s="171" t="s">
        <v>57</v>
      </c>
      <c r="P54" s="172">
        <v>21.04</v>
      </c>
      <c r="Q54" s="173">
        <v>-0.05</v>
      </c>
      <c r="R54" s="171" t="s">
        <v>94</v>
      </c>
      <c r="S54" s="172">
        <v>5</v>
      </c>
      <c r="T54" s="174">
        <v>5000</v>
      </c>
      <c r="U54" s="171" t="s">
        <v>92</v>
      </c>
      <c r="V54" s="171">
        <f>$C$2-N54</f>
        <v>30</v>
      </c>
      <c r="W54" s="175" cm="1">
        <f t="array" ref="W54">ImpliedVolatility_kris("c",P54,$C$3,V54/365,$C$4,$C$4,S54,0.01)</f>
        <v>1.9251833047113274</v>
      </c>
      <c r="Y54" s="192">
        <v>45434</v>
      </c>
      <c r="Z54" s="193" t="s">
        <v>57</v>
      </c>
      <c r="AA54" s="194">
        <v>21.04</v>
      </c>
      <c r="AB54" s="195">
        <v>-0.05</v>
      </c>
      <c r="AC54" s="193" t="s">
        <v>94</v>
      </c>
      <c r="AD54" s="194">
        <v>5</v>
      </c>
      <c r="AE54" s="196">
        <v>5000</v>
      </c>
      <c r="AF54" s="193" t="s">
        <v>92</v>
      </c>
      <c r="AG54" s="193">
        <f>$C$2-Y54</f>
        <v>30</v>
      </c>
      <c r="AH54" s="197" cm="1">
        <f t="array" ref="AH54">ImpliedVolatility_kris("c",AA54,$C$3,AG54/365,$C$4,$C$4,AD54,0.01)</f>
        <v>1.9251833047113274</v>
      </c>
      <c r="AN54" s="194">
        <v>21.04</v>
      </c>
      <c r="AO54" s="194">
        <v>21.04</v>
      </c>
    </row>
    <row r="55" spans="3:41" x14ac:dyDescent="0.25">
      <c r="C55" s="161">
        <v>45433</v>
      </c>
      <c r="D55" s="162" t="s">
        <v>57</v>
      </c>
      <c r="E55" s="163">
        <v>22.28</v>
      </c>
      <c r="F55" s="164">
        <v>-0.1</v>
      </c>
      <c r="G55" s="162" t="s">
        <v>95</v>
      </c>
      <c r="H55" s="163">
        <v>5.75</v>
      </c>
      <c r="I55" s="165">
        <v>5000</v>
      </c>
      <c r="J55" s="162" t="s">
        <v>96</v>
      </c>
      <c r="K55" s="162">
        <f>$C$2-C55</f>
        <v>31</v>
      </c>
      <c r="L55" s="168" cm="1">
        <f t="array" ref="L55">ImpliedVolatility_kris("c",E55,$C$3,K55/365,$C$4,$C$4,H55,0.01)</f>
        <v>1.8618377692627592</v>
      </c>
      <c r="N55" s="182">
        <v>45433</v>
      </c>
      <c r="O55" s="183" t="s">
        <v>57</v>
      </c>
      <c r="P55" s="184">
        <v>22.28</v>
      </c>
      <c r="Q55" s="185">
        <v>-0.1</v>
      </c>
      <c r="R55" s="183" t="s">
        <v>95</v>
      </c>
      <c r="S55" s="184">
        <v>5.75</v>
      </c>
      <c r="T55" s="186">
        <v>5000</v>
      </c>
      <c r="U55" s="183" t="s">
        <v>96</v>
      </c>
      <c r="V55" s="183">
        <f>$C$2-N55</f>
        <v>31</v>
      </c>
      <c r="W55" s="187" cm="1">
        <f t="array" ref="W55">ImpliedVolatility_kris("c",P55,$C$3,V55/365,$C$4,$C$4,S55,0.01)</f>
        <v>1.8618377692627592</v>
      </c>
      <c r="Y55" s="204">
        <v>45433</v>
      </c>
      <c r="Z55" s="205" t="s">
        <v>57</v>
      </c>
      <c r="AA55" s="206">
        <v>22.28</v>
      </c>
      <c r="AB55" s="207">
        <v>-0.1</v>
      </c>
      <c r="AC55" s="205" t="s">
        <v>95</v>
      </c>
      <c r="AD55" s="206">
        <v>5.75</v>
      </c>
      <c r="AE55" s="208">
        <v>5000</v>
      </c>
      <c r="AF55" s="205" t="s">
        <v>96</v>
      </c>
      <c r="AG55" s="205">
        <f>$C$2-Y55</f>
        <v>31</v>
      </c>
      <c r="AH55" s="209" cm="1">
        <f t="array" ref="AH55">ImpliedVolatility_kris("c",AA55,$C$3,AG55/365,$C$4,$C$4,AD55,0.01)</f>
        <v>1.8618377692627592</v>
      </c>
      <c r="AN55" s="206">
        <v>22.28</v>
      </c>
      <c r="AO55" s="206">
        <v>22.28</v>
      </c>
    </row>
    <row r="56" spans="3:41" x14ac:dyDescent="0.25">
      <c r="C56" s="151">
        <v>45433</v>
      </c>
      <c r="D56" s="152" t="s">
        <v>57</v>
      </c>
      <c r="E56" s="153">
        <v>21.7</v>
      </c>
      <c r="F56" s="154">
        <v>-0.08</v>
      </c>
      <c r="G56" s="152" t="s">
        <v>97</v>
      </c>
      <c r="H56" s="153">
        <v>5.5</v>
      </c>
      <c r="I56" s="155">
        <v>5000</v>
      </c>
      <c r="J56" s="152" t="s">
        <v>64</v>
      </c>
      <c r="K56" s="152">
        <f>$C$2-C56</f>
        <v>31</v>
      </c>
      <c r="L56" s="166" cm="1">
        <f t="array" ref="L56">ImpliedVolatility_kris("c",E56,$C$3,K56/365,$C$4,$C$4,H56,0.01)</f>
        <v>1.9232068880289164</v>
      </c>
      <c r="N56" s="170">
        <v>45433</v>
      </c>
      <c r="O56" s="171" t="s">
        <v>57</v>
      </c>
      <c r="P56" s="172">
        <v>21.7</v>
      </c>
      <c r="Q56" s="173">
        <v>-0.08</v>
      </c>
      <c r="R56" s="171" t="s">
        <v>97</v>
      </c>
      <c r="S56" s="172">
        <v>5.5</v>
      </c>
      <c r="T56" s="174">
        <v>5000</v>
      </c>
      <c r="U56" s="171" t="s">
        <v>64</v>
      </c>
      <c r="V56" s="171">
        <f>$C$2-N56</f>
        <v>31</v>
      </c>
      <c r="W56" s="175" cm="1">
        <f t="array" ref="W56">ImpliedVolatility_kris("c",P56,$C$3,V56/365,$C$4,$C$4,S56,0.01)</f>
        <v>1.9232068880289164</v>
      </c>
      <c r="Y56" s="192">
        <v>45433</v>
      </c>
      <c r="Z56" s="193" t="s">
        <v>57</v>
      </c>
      <c r="AA56" s="194">
        <v>21.7</v>
      </c>
      <c r="AB56" s="195">
        <v>-0.08</v>
      </c>
      <c r="AC56" s="193" t="s">
        <v>97</v>
      </c>
      <c r="AD56" s="194">
        <v>5.5</v>
      </c>
      <c r="AE56" s="196">
        <v>5000</v>
      </c>
      <c r="AF56" s="193" t="s">
        <v>64</v>
      </c>
      <c r="AG56" s="193">
        <f>$C$2-Y56</f>
        <v>31</v>
      </c>
      <c r="AH56" s="197" cm="1">
        <f t="array" ref="AH56">ImpliedVolatility_kris("c",AA56,$C$3,AG56/365,$C$4,$C$4,AD56,0.01)</f>
        <v>1.9232068880289164</v>
      </c>
      <c r="AN56" s="194">
        <v>21.7</v>
      </c>
      <c r="AO56" s="194">
        <v>21.7</v>
      </c>
    </row>
    <row r="57" spans="3:41" x14ac:dyDescent="0.25">
      <c r="C57" s="151">
        <v>45433</v>
      </c>
      <c r="D57" s="152" t="s">
        <v>57</v>
      </c>
      <c r="E57" s="153">
        <v>21.27</v>
      </c>
      <c r="F57" s="154">
        <v>-0.06</v>
      </c>
      <c r="G57" s="152" t="s">
        <v>98</v>
      </c>
      <c r="H57" s="153">
        <v>4.95</v>
      </c>
      <c r="I57" s="155">
        <v>5000</v>
      </c>
      <c r="J57" s="152" t="s">
        <v>99</v>
      </c>
      <c r="K57" s="152">
        <f>$C$2-C57</f>
        <v>31</v>
      </c>
      <c r="L57" s="166" cm="1">
        <f t="array" ref="L57">ImpliedVolatility_kris("c",E57,$C$3,K57/365,$C$4,$C$4,H57,0.01)</f>
        <v>1.8072807871578243</v>
      </c>
      <c r="N57" s="170">
        <v>45433</v>
      </c>
      <c r="O57" s="171" t="s">
        <v>57</v>
      </c>
      <c r="P57" s="172">
        <v>21.27</v>
      </c>
      <c r="Q57" s="173">
        <v>-0.06</v>
      </c>
      <c r="R57" s="171" t="s">
        <v>98</v>
      </c>
      <c r="S57" s="172">
        <v>4.95</v>
      </c>
      <c r="T57" s="174">
        <v>5000</v>
      </c>
      <c r="U57" s="171" t="s">
        <v>99</v>
      </c>
      <c r="V57" s="171">
        <f>$C$2-N57</f>
        <v>31</v>
      </c>
      <c r="W57" s="175" cm="1">
        <f t="array" ref="W57">ImpliedVolatility_kris("c",P57,$C$3,V57/365,$C$4,$C$4,S57,0.01)</f>
        <v>1.8072807871578243</v>
      </c>
      <c r="Y57" s="192">
        <v>45433</v>
      </c>
      <c r="Z57" s="193" t="s">
        <v>57</v>
      </c>
      <c r="AA57" s="194">
        <v>21.27</v>
      </c>
      <c r="AB57" s="195">
        <v>-0.06</v>
      </c>
      <c r="AC57" s="193" t="s">
        <v>98</v>
      </c>
      <c r="AD57" s="194">
        <v>4.95</v>
      </c>
      <c r="AE57" s="196">
        <v>5000</v>
      </c>
      <c r="AF57" s="193" t="s">
        <v>99</v>
      </c>
      <c r="AG57" s="193">
        <f>$C$2-Y57</f>
        <v>31</v>
      </c>
      <c r="AH57" s="197" cm="1">
        <f t="array" ref="AH57">ImpliedVolatility_kris("c",AA57,$C$3,AG57/365,$C$4,$C$4,AD57,0.01)</f>
        <v>1.8072807871578243</v>
      </c>
      <c r="AN57" s="194">
        <v>21.27</v>
      </c>
      <c r="AO57" s="194">
        <v>21.27</v>
      </c>
    </row>
    <row r="58" spans="3:41" x14ac:dyDescent="0.25">
      <c r="C58" s="151">
        <v>45433</v>
      </c>
      <c r="D58" s="152" t="s">
        <v>62</v>
      </c>
      <c r="E58" s="153">
        <v>21.65</v>
      </c>
      <c r="F58" s="154">
        <v>-0.08</v>
      </c>
      <c r="G58" s="152" t="s">
        <v>100</v>
      </c>
      <c r="H58" s="153">
        <v>5</v>
      </c>
      <c r="I58" s="155">
        <v>5000</v>
      </c>
      <c r="J58" s="152" t="s">
        <v>92</v>
      </c>
      <c r="K58" s="152">
        <f>$C$2-C58</f>
        <v>31</v>
      </c>
      <c r="L58" s="166" cm="1">
        <f t="array" ref="L58">ImpliedVolatility_kris("c",E58,$C$3,K58/365,$C$4,$C$4,H58,0.01)</f>
        <v>1.7212882670536924</v>
      </c>
      <c r="N58" s="170">
        <v>45433</v>
      </c>
      <c r="O58" s="171" t="s">
        <v>62</v>
      </c>
      <c r="P58" s="172">
        <v>21.65</v>
      </c>
      <c r="Q58" s="173">
        <v>-0.08</v>
      </c>
      <c r="R58" s="171" t="s">
        <v>100</v>
      </c>
      <c r="S58" s="172">
        <v>5</v>
      </c>
      <c r="T58" s="174">
        <v>5000</v>
      </c>
      <c r="U58" s="171" t="s">
        <v>92</v>
      </c>
      <c r="V58" s="171">
        <f>$C$2-N58</f>
        <v>31</v>
      </c>
      <c r="W58" s="175" cm="1">
        <f t="array" ref="W58">ImpliedVolatility_kris("c",P58,$C$3,V58/365,$C$4,$C$4,S58,0.01)</f>
        <v>1.7212882670536924</v>
      </c>
      <c r="Y58" s="192">
        <v>45433</v>
      </c>
      <c r="Z58" s="193" t="s">
        <v>62</v>
      </c>
      <c r="AA58" s="194">
        <v>21.65</v>
      </c>
      <c r="AB58" s="195">
        <v>-0.08</v>
      </c>
      <c r="AC58" s="193" t="s">
        <v>100</v>
      </c>
      <c r="AD58" s="194">
        <v>5</v>
      </c>
      <c r="AE58" s="196">
        <v>5000</v>
      </c>
      <c r="AF58" s="193" t="s">
        <v>92</v>
      </c>
      <c r="AG58" s="193">
        <f>$C$2-Y58</f>
        <v>31</v>
      </c>
      <c r="AH58" s="197" cm="1">
        <f t="array" ref="AH58">ImpliedVolatility_kris("c",AA58,$C$3,AG58/365,$C$4,$C$4,AD58,0.01)</f>
        <v>1.7212882670536924</v>
      </c>
      <c r="AN58" s="194">
        <v>21.65</v>
      </c>
      <c r="AO58" s="194">
        <v>21.65</v>
      </c>
    </row>
    <row r="59" spans="3:41" x14ac:dyDescent="0.25">
      <c r="C59" s="161">
        <v>45432</v>
      </c>
      <c r="D59" s="162" t="s">
        <v>57</v>
      </c>
      <c r="E59" s="163">
        <v>20.88</v>
      </c>
      <c r="F59" s="164">
        <v>-0.04</v>
      </c>
      <c r="G59" s="162" t="s">
        <v>101</v>
      </c>
      <c r="H59" s="163">
        <v>4.8499999999999996</v>
      </c>
      <c r="I59" s="165">
        <v>5000</v>
      </c>
      <c r="J59" s="162" t="s">
        <v>102</v>
      </c>
      <c r="K59" s="162">
        <f>$C$2-C59</f>
        <v>32</v>
      </c>
      <c r="L59" s="168" cm="1">
        <f t="array" ref="L59">ImpliedVolatility_kris("c",E59,$C$3,K59/365,$C$4,$C$4,H59,0.01)</f>
        <v>1.8436026128861942</v>
      </c>
      <c r="N59" s="182">
        <v>45432</v>
      </c>
      <c r="O59" s="183" t="s">
        <v>57</v>
      </c>
      <c r="P59" s="184">
        <v>20.88</v>
      </c>
      <c r="Q59" s="185">
        <v>-0.04</v>
      </c>
      <c r="R59" s="183" t="s">
        <v>101</v>
      </c>
      <c r="S59" s="184">
        <v>4.8499999999999996</v>
      </c>
      <c r="T59" s="186">
        <v>5000</v>
      </c>
      <c r="U59" s="183" t="s">
        <v>102</v>
      </c>
      <c r="V59" s="183">
        <f>$C$2-N59</f>
        <v>32</v>
      </c>
      <c r="W59" s="187" cm="1">
        <f t="array" ref="W59">ImpliedVolatility_kris("c",P59,$C$3,V59/365,$C$4,$C$4,S59,0.01)</f>
        <v>1.8436026128861942</v>
      </c>
      <c r="Y59" s="204">
        <v>45432</v>
      </c>
      <c r="Z59" s="205" t="s">
        <v>57</v>
      </c>
      <c r="AA59" s="206">
        <v>20.88</v>
      </c>
      <c r="AB59" s="207">
        <v>-0.04</v>
      </c>
      <c r="AC59" s="205" t="s">
        <v>101</v>
      </c>
      <c r="AD59" s="206">
        <v>4.8499999999999996</v>
      </c>
      <c r="AE59" s="208">
        <v>5000</v>
      </c>
      <c r="AF59" s="205" t="s">
        <v>102</v>
      </c>
      <c r="AG59" s="205">
        <f>$C$2-Y59</f>
        <v>32</v>
      </c>
      <c r="AH59" s="209" cm="1">
        <f t="array" ref="AH59">ImpliedVolatility_kris("c",AA59,$C$3,AG59/365,$C$4,$C$4,AD59,0.01)</f>
        <v>1.8436026128861942</v>
      </c>
      <c r="AN59" s="206">
        <v>20.88</v>
      </c>
      <c r="AO59" s="206">
        <v>20.88</v>
      </c>
    </row>
    <row r="60" spans="3:41" x14ac:dyDescent="0.25">
      <c r="C60" s="151">
        <v>45432</v>
      </c>
      <c r="D60" s="152" t="s">
        <v>57</v>
      </c>
      <c r="E60" s="153">
        <v>20.67</v>
      </c>
      <c r="F60" s="154">
        <v>-0.03</v>
      </c>
      <c r="G60" s="152" t="s">
        <v>103</v>
      </c>
      <c r="H60" s="153">
        <v>4.5999999999999996</v>
      </c>
      <c r="I60" s="155">
        <v>5000</v>
      </c>
      <c r="J60" s="152" t="s">
        <v>104</v>
      </c>
      <c r="K60" s="152">
        <f>$C$2-C60</f>
        <v>32</v>
      </c>
      <c r="L60" s="166" cm="1">
        <f t="array" ref="L60">ImpliedVolatility_kris("c",E60,$C$3,K60/365,$C$4,$C$4,H60,0.01)</f>
        <v>1.7930686907837048</v>
      </c>
      <c r="N60" s="170">
        <v>45432</v>
      </c>
      <c r="O60" s="171" t="s">
        <v>57</v>
      </c>
      <c r="P60" s="172">
        <v>20.67</v>
      </c>
      <c r="Q60" s="173">
        <v>-0.03</v>
      </c>
      <c r="R60" s="171" t="s">
        <v>103</v>
      </c>
      <c r="S60" s="172">
        <v>4.5999999999999996</v>
      </c>
      <c r="T60" s="174">
        <v>5000</v>
      </c>
      <c r="U60" s="171" t="s">
        <v>104</v>
      </c>
      <c r="V60" s="171">
        <f>$C$2-N60</f>
        <v>32</v>
      </c>
      <c r="W60" s="175" cm="1">
        <f t="array" ref="W60">ImpliedVolatility_kris("c",P60,$C$3,V60/365,$C$4,$C$4,S60,0.01)</f>
        <v>1.7930686907837048</v>
      </c>
      <c r="Y60" s="192">
        <v>45432</v>
      </c>
      <c r="Z60" s="193" t="s">
        <v>57</v>
      </c>
      <c r="AA60" s="194">
        <v>20.67</v>
      </c>
      <c r="AB60" s="195">
        <v>-0.03</v>
      </c>
      <c r="AC60" s="193" t="s">
        <v>103</v>
      </c>
      <c r="AD60" s="194">
        <v>4.5999999999999996</v>
      </c>
      <c r="AE60" s="196">
        <v>5000</v>
      </c>
      <c r="AF60" s="193" t="s">
        <v>104</v>
      </c>
      <c r="AG60" s="193">
        <f>$C$2-Y60</f>
        <v>32</v>
      </c>
      <c r="AH60" s="197" cm="1">
        <f t="array" ref="AH60">ImpliedVolatility_kris("c",AA60,$C$3,AG60/365,$C$4,$C$4,AD60,0.01)</f>
        <v>1.7930686907837048</v>
      </c>
      <c r="AN60" s="194">
        <v>20.67</v>
      </c>
      <c r="AO60" s="194">
        <v>20.67</v>
      </c>
    </row>
    <row r="62" spans="3:41" x14ac:dyDescent="0.25">
      <c r="C62" s="211" t="s">
        <v>111</v>
      </c>
      <c r="D62" s="211" t="s">
        <v>112</v>
      </c>
      <c r="E62" s="211" t="s">
        <v>113</v>
      </c>
      <c r="F62" s="211" t="s">
        <v>53</v>
      </c>
      <c r="G62" s="211" t="s">
        <v>114</v>
      </c>
      <c r="H62" s="211" t="s">
        <v>134</v>
      </c>
      <c r="I62" s="211" t="s">
        <v>116</v>
      </c>
      <c r="J62" s="211" t="s">
        <v>115</v>
      </c>
      <c r="K62" s="211" t="s">
        <v>20</v>
      </c>
      <c r="L62" s="211" t="s">
        <v>7</v>
      </c>
    </row>
    <row r="63" spans="3:41" x14ac:dyDescent="0.25">
      <c r="C63" s="212">
        <v>45443</v>
      </c>
      <c r="D63" s="213" t="s">
        <v>57</v>
      </c>
      <c r="E63" s="214">
        <v>23.24</v>
      </c>
      <c r="F63" s="215">
        <v>-0.14000000000000001</v>
      </c>
      <c r="G63" s="213" t="s">
        <v>58</v>
      </c>
      <c r="H63" s="214">
        <v>5.6</v>
      </c>
      <c r="I63" s="216">
        <v>5000</v>
      </c>
      <c r="J63" s="213" t="s">
        <v>59</v>
      </c>
      <c r="K63" s="213">
        <f>$C$2-C63</f>
        <v>21</v>
      </c>
      <c r="L63" s="217" cm="1">
        <f t="array" ref="L63">ImpliedVolatility_kris("c",E63,$C$3,K63/365,$C$4,$C$4,H63,0.01)</f>
        <v>1.8355586626678784</v>
      </c>
    </row>
    <row r="64" spans="3:41" x14ac:dyDescent="0.25">
      <c r="C64" s="218">
        <v>45442</v>
      </c>
      <c r="D64" s="219" t="s">
        <v>57</v>
      </c>
      <c r="E64" s="220">
        <v>22.59</v>
      </c>
      <c r="F64" s="221">
        <v>-0.11</v>
      </c>
      <c r="G64" s="219" t="s">
        <v>117</v>
      </c>
      <c r="H64" s="220">
        <v>5.2</v>
      </c>
      <c r="I64" s="222">
        <v>5000</v>
      </c>
      <c r="J64" s="219" t="s">
        <v>61</v>
      </c>
      <c r="K64" s="219">
        <f>$C$2-C64</f>
        <v>22</v>
      </c>
      <c r="L64" s="223" cm="1">
        <f t="array" ref="L64">ImpliedVolatility_kris("c",E64,$C$3,K64/365,$C$4,$C$4,H64,0.01)</f>
        <v>1.8205553858283039</v>
      </c>
    </row>
    <row r="65" spans="3:12" x14ac:dyDescent="0.25">
      <c r="C65" s="218">
        <v>45441</v>
      </c>
      <c r="D65" s="219" t="s">
        <v>62</v>
      </c>
      <c r="E65" s="220">
        <v>22.2</v>
      </c>
      <c r="F65" s="221">
        <v>-0.1</v>
      </c>
      <c r="G65" s="219" t="s">
        <v>63</v>
      </c>
      <c r="H65" s="220">
        <v>5.5</v>
      </c>
      <c r="I65" s="222">
        <v>5000</v>
      </c>
      <c r="J65" s="219" t="s">
        <v>64</v>
      </c>
      <c r="K65" s="219">
        <f>$C$2-C65</f>
        <v>23</v>
      </c>
      <c r="L65" s="223" cm="1">
        <f t="array" ref="L65">ImpliedVolatility_kris("c",E65,$C$3,K65/365,$C$4,$C$4,H65,0.01)</f>
        <v>2.0624858041690799</v>
      </c>
    </row>
    <row r="66" spans="3:12" x14ac:dyDescent="0.25">
      <c r="C66" s="224">
        <v>45440</v>
      </c>
      <c r="D66" s="225" t="s">
        <v>57</v>
      </c>
      <c r="E66" s="226">
        <v>23.34</v>
      </c>
      <c r="F66" s="227">
        <v>-0.14000000000000001</v>
      </c>
      <c r="G66" s="225" t="s">
        <v>65</v>
      </c>
      <c r="H66" s="226">
        <v>6.5</v>
      </c>
      <c r="I66" s="228">
        <v>5000</v>
      </c>
      <c r="J66" s="225" t="s">
        <v>66</v>
      </c>
      <c r="K66" s="225">
        <f>$C$2-C66</f>
        <v>24</v>
      </c>
      <c r="L66" s="229" cm="1">
        <f t="array" ref="L66">ImpliedVolatility_kris("c",E66,$C$3,K66/365,$C$4,$C$4,H66,0.01)</f>
        <v>2.1231783154050166</v>
      </c>
    </row>
    <row r="67" spans="3:12" x14ac:dyDescent="0.25">
      <c r="C67" s="212">
        <v>45440</v>
      </c>
      <c r="D67" s="213" t="s">
        <v>57</v>
      </c>
      <c r="E67" s="214">
        <v>25.47</v>
      </c>
      <c r="F67" s="215">
        <v>-0.21</v>
      </c>
      <c r="G67" s="213" t="s">
        <v>67</v>
      </c>
      <c r="H67" s="214">
        <v>8.25</v>
      </c>
      <c r="I67" s="216">
        <v>5000</v>
      </c>
      <c r="J67" s="213" t="s">
        <v>68</v>
      </c>
      <c r="K67" s="213">
        <f>$C$2-C67</f>
        <v>24</v>
      </c>
      <c r="L67" s="217" cm="1">
        <f t="array" ref="L67">ImpliedVolatility_kris("c",E67,$C$3,K67/365,$C$4,$C$4,H67,0.01)</f>
        <v>2.2084306848797413</v>
      </c>
    </row>
    <row r="68" spans="3:12" x14ac:dyDescent="0.25">
      <c r="C68" s="224">
        <v>45436</v>
      </c>
      <c r="D68" s="225" t="s">
        <v>69</v>
      </c>
      <c r="E68" s="226">
        <v>18.18</v>
      </c>
      <c r="F68" s="227">
        <v>0.1</v>
      </c>
      <c r="G68" s="225" t="s">
        <v>70</v>
      </c>
      <c r="H68" s="226">
        <v>3.5</v>
      </c>
      <c r="I68" s="228">
        <v>5000</v>
      </c>
      <c r="J68" s="225" t="s">
        <v>71</v>
      </c>
      <c r="K68" s="225">
        <f>$C$2-C68</f>
        <v>28</v>
      </c>
      <c r="L68" s="229" cm="1">
        <f t="array" ref="L68">ImpliedVolatility_kris("c",E68,$C$3,K68/365,$C$4,$C$4,H68,0.01)</f>
        <v>2.0911133210114601</v>
      </c>
    </row>
    <row r="69" spans="3:12" x14ac:dyDescent="0.25">
      <c r="C69" s="212">
        <v>45436</v>
      </c>
      <c r="D69" s="213" t="s">
        <v>57</v>
      </c>
      <c r="E69" s="214">
        <v>18.260000000000002</v>
      </c>
      <c r="F69" s="215">
        <v>0.1</v>
      </c>
      <c r="G69" s="213" t="s">
        <v>72</v>
      </c>
      <c r="H69" s="214">
        <v>3.35</v>
      </c>
      <c r="I69" s="216">
        <v>5000</v>
      </c>
      <c r="J69" s="213" t="s">
        <v>73</v>
      </c>
      <c r="K69" s="213">
        <f>$C$2-C69</f>
        <v>28</v>
      </c>
      <c r="L69" s="217" cm="1">
        <f t="array" ref="L69">ImpliedVolatility_kris("c",E69,$C$3,K69/365,$C$4,$C$4,H69,0.01)</f>
        <v>1.9947097477998832</v>
      </c>
    </row>
    <row r="70" spans="3:12" x14ac:dyDescent="0.25">
      <c r="C70" s="224">
        <v>45434</v>
      </c>
      <c r="D70" s="225" t="s">
        <v>57</v>
      </c>
      <c r="E70" s="226">
        <v>21.62</v>
      </c>
      <c r="F70" s="227">
        <v>-7.0000000000000007E-2</v>
      </c>
      <c r="G70" s="225" t="s">
        <v>74</v>
      </c>
      <c r="H70" s="226">
        <v>6.75</v>
      </c>
      <c r="I70" s="228">
        <v>5000</v>
      </c>
      <c r="J70" s="225" t="s">
        <v>75</v>
      </c>
      <c r="K70" s="225">
        <f>$C$2-C70</f>
        <v>30</v>
      </c>
      <c r="L70" s="229" cm="1">
        <f t="array" ref="L70">ImpliedVolatility_kris("c",E70,$C$3,K70/365,$C$4,$C$4,H70,0.01)</f>
        <v>2.5358839671580538</v>
      </c>
    </row>
    <row r="71" spans="3:12" x14ac:dyDescent="0.25">
      <c r="C71" s="212">
        <v>45434</v>
      </c>
      <c r="D71" s="213" t="s">
        <v>62</v>
      </c>
      <c r="E71" s="214">
        <v>22.01</v>
      </c>
      <c r="F71" s="215">
        <v>-0.09</v>
      </c>
      <c r="G71" s="213" t="s">
        <v>76</v>
      </c>
      <c r="H71" s="214">
        <v>7.25</v>
      </c>
      <c r="I71" s="216">
        <v>1462</v>
      </c>
      <c r="J71" s="213" t="s">
        <v>77</v>
      </c>
      <c r="K71" s="213">
        <f>$C$2-C71</f>
        <v>30</v>
      </c>
      <c r="L71" s="217" cm="1">
        <f t="array" ref="L71">ImpliedVolatility_kris("c",E71,$C$3,K71/365,$C$4,$C$4,H71,0.01)</f>
        <v>2.6381330947311623</v>
      </c>
    </row>
    <row r="72" spans="3:12" x14ac:dyDescent="0.25">
      <c r="C72" s="212">
        <v>45434</v>
      </c>
      <c r="D72" s="213" t="s">
        <v>57</v>
      </c>
      <c r="E72" s="214">
        <v>21.91</v>
      </c>
      <c r="F72" s="215">
        <v>-0.09</v>
      </c>
      <c r="G72" s="213" t="s">
        <v>78</v>
      </c>
      <c r="H72" s="214">
        <v>7.05</v>
      </c>
      <c r="I72" s="216">
        <v>5000</v>
      </c>
      <c r="J72" s="213" t="s">
        <v>79</v>
      </c>
      <c r="K72" s="213">
        <f>$C$2-C72</f>
        <v>30</v>
      </c>
      <c r="L72" s="217" cm="1">
        <f t="array" ref="L72">ImpliedVolatility_kris("c",E72,$C$3,K72/365,$C$4,$C$4,H72,0.01)</f>
        <v>2.5801139107626407</v>
      </c>
    </row>
    <row r="73" spans="3:12" x14ac:dyDescent="0.25">
      <c r="C73" s="212">
        <v>45434</v>
      </c>
      <c r="D73" s="213" t="s">
        <v>57</v>
      </c>
      <c r="E73" s="214">
        <v>22.02</v>
      </c>
      <c r="F73" s="215">
        <v>-0.09</v>
      </c>
      <c r="G73" s="213" t="s">
        <v>80</v>
      </c>
      <c r="H73" s="214">
        <v>6.7</v>
      </c>
      <c r="I73" s="216">
        <v>5000</v>
      </c>
      <c r="J73" s="213" t="s">
        <v>81</v>
      </c>
      <c r="K73" s="213">
        <f>$C$2-C73</f>
        <v>30</v>
      </c>
      <c r="L73" s="217" cm="1">
        <f t="array" ref="L73">ImpliedVolatility_kris("c",E73,$C$3,K73/365,$C$4,$C$4,H73,0.01)</f>
        <v>2.3893449376952458</v>
      </c>
    </row>
    <row r="74" spans="3:12" x14ac:dyDescent="0.25">
      <c r="C74" s="212">
        <v>45434</v>
      </c>
      <c r="D74" s="213" t="s">
        <v>57</v>
      </c>
      <c r="E74" s="214">
        <v>21.63</v>
      </c>
      <c r="F74" s="215">
        <v>-0.08</v>
      </c>
      <c r="G74" s="213" t="s">
        <v>82</v>
      </c>
      <c r="H74" s="214">
        <v>6.25</v>
      </c>
      <c r="I74" s="216">
        <v>5000</v>
      </c>
      <c r="J74" s="213" t="s">
        <v>83</v>
      </c>
      <c r="K74" s="213">
        <f>$C$2-C74</f>
        <v>30</v>
      </c>
      <c r="L74" s="217" cm="1">
        <f t="array" ref="L74">ImpliedVolatility_kris("c",E74,$C$3,K74/365,$C$4,$C$4,H74,0.01)</f>
        <v>2.3084065758099475</v>
      </c>
    </row>
    <row r="75" spans="3:12" x14ac:dyDescent="0.25">
      <c r="C75" s="212">
        <v>45434</v>
      </c>
      <c r="D75" s="213" t="s">
        <v>57</v>
      </c>
      <c r="E75" s="214">
        <v>20</v>
      </c>
      <c r="F75" s="215">
        <v>-0.08</v>
      </c>
      <c r="G75" s="213" t="s">
        <v>84</v>
      </c>
      <c r="H75" s="214">
        <v>6.2</v>
      </c>
      <c r="I75" s="216">
        <v>5000</v>
      </c>
      <c r="J75" s="213" t="s">
        <v>85</v>
      </c>
      <c r="K75" s="213">
        <f>$C$2-C75</f>
        <v>30</v>
      </c>
      <c r="L75" s="217" cm="1">
        <f t="array" ref="L75">ImpliedVolatility_kris("c",E75,$C$3,K75/365,$C$4,$C$4,H75,0.01)</f>
        <v>2.7823505435170421</v>
      </c>
    </row>
    <row r="76" spans="3:12" x14ac:dyDescent="0.25">
      <c r="C76" s="212">
        <v>45434</v>
      </c>
      <c r="D76" s="213" t="s">
        <v>57</v>
      </c>
      <c r="E76" s="214">
        <v>21</v>
      </c>
      <c r="F76" s="215">
        <v>-0.06</v>
      </c>
      <c r="G76" s="213" t="s">
        <v>86</v>
      </c>
      <c r="H76" s="214">
        <v>5.8</v>
      </c>
      <c r="I76" s="216">
        <v>5000</v>
      </c>
      <c r="J76" s="213" t="s">
        <v>87</v>
      </c>
      <c r="K76" s="213">
        <f>$C$2-C76</f>
        <v>30</v>
      </c>
      <c r="L76" s="217" cm="1">
        <f t="array" ref="L76">ImpliedVolatility_kris("c",E76,$C$3,K76/365,$C$4,$C$4,H76,0.01)</f>
        <v>2.295190509001106</v>
      </c>
    </row>
    <row r="77" spans="3:12" x14ac:dyDescent="0.25">
      <c r="C77" s="212">
        <v>45434</v>
      </c>
      <c r="D77" s="213" t="s">
        <v>57</v>
      </c>
      <c r="E77" s="214">
        <v>21.31</v>
      </c>
      <c r="F77" s="215">
        <v>-0.06</v>
      </c>
      <c r="G77" s="213" t="s">
        <v>88</v>
      </c>
      <c r="H77" s="214">
        <v>5.85</v>
      </c>
      <c r="I77" s="216">
        <v>5000</v>
      </c>
      <c r="J77" s="213" t="s">
        <v>89</v>
      </c>
      <c r="K77" s="213">
        <f>$C$2-C77</f>
        <v>30</v>
      </c>
      <c r="L77" s="217" cm="1">
        <f t="array" ref="L77">ImpliedVolatility_kris("c",E77,$C$3,K77/365,$C$4,$C$4,H77,0.01)</f>
        <v>2.2255865266939332</v>
      </c>
    </row>
    <row r="78" spans="3:12" x14ac:dyDescent="0.25">
      <c r="C78" s="212">
        <v>45434</v>
      </c>
      <c r="D78" s="213" t="s">
        <v>57</v>
      </c>
      <c r="E78" s="214">
        <v>21.03</v>
      </c>
      <c r="F78" s="215">
        <v>-0.05</v>
      </c>
      <c r="G78" s="213" t="s">
        <v>90</v>
      </c>
      <c r="H78" s="214">
        <v>5.5</v>
      </c>
      <c r="I78" s="216">
        <v>5000</v>
      </c>
      <c r="J78" s="213" t="s">
        <v>64</v>
      </c>
      <c r="K78" s="213">
        <f>$C$2-C78</f>
        <v>30</v>
      </c>
      <c r="L78" s="217" cm="1">
        <f t="array" ref="L78">ImpliedVolatility_kris("c",E78,$C$3,K78/365,$C$4,$C$4,H78,0.01)</f>
        <v>2.1513375942747253</v>
      </c>
    </row>
    <row r="79" spans="3:12" x14ac:dyDescent="0.25">
      <c r="C79" s="212">
        <v>45434</v>
      </c>
      <c r="D79" s="213" t="s">
        <v>69</v>
      </c>
      <c r="E79" s="214">
        <v>20.98</v>
      </c>
      <c r="F79" s="215">
        <v>-0.05</v>
      </c>
      <c r="G79" s="213" t="s">
        <v>91</v>
      </c>
      <c r="H79" s="214">
        <v>5</v>
      </c>
      <c r="I79" s="216">
        <v>5000</v>
      </c>
      <c r="J79" s="213" t="s">
        <v>92</v>
      </c>
      <c r="K79" s="213">
        <f>$C$2-C79</f>
        <v>30</v>
      </c>
      <c r="L79" s="217" cm="1">
        <f t="array" ref="L79">ImpliedVolatility_kris("c",E79,$C$3,K79/365,$C$4,$C$4,H79,0.01)</f>
        <v>1.9423572612837354</v>
      </c>
    </row>
    <row r="80" spans="3:12" x14ac:dyDescent="0.25">
      <c r="C80" s="212">
        <v>45434</v>
      </c>
      <c r="D80" s="213" t="s">
        <v>62</v>
      </c>
      <c r="E80" s="214">
        <v>21.05</v>
      </c>
      <c r="F80" s="215">
        <v>-0.05</v>
      </c>
      <c r="G80" s="213" t="s">
        <v>93</v>
      </c>
      <c r="H80" s="214">
        <v>5</v>
      </c>
      <c r="I80" s="216">
        <v>5000</v>
      </c>
      <c r="J80" s="213" t="s">
        <v>92</v>
      </c>
      <c r="K80" s="213">
        <f>$C$2-C80</f>
        <v>30</v>
      </c>
      <c r="L80" s="217" cm="1">
        <f t="array" ref="L80">ImpliedVolatility_kris("c",E80,$C$3,K80/365,$C$4,$C$4,H80,0.01)</f>
        <v>1.9223200473527291</v>
      </c>
    </row>
    <row r="81" spans="2:12" x14ac:dyDescent="0.25">
      <c r="C81" s="212">
        <v>45434</v>
      </c>
      <c r="D81" s="213" t="s">
        <v>57</v>
      </c>
      <c r="E81" s="214">
        <v>21.08</v>
      </c>
      <c r="F81" s="215">
        <v>-0.05</v>
      </c>
      <c r="G81" s="213" t="s">
        <v>94</v>
      </c>
      <c r="H81" s="214">
        <v>5</v>
      </c>
      <c r="I81" s="216">
        <v>5000</v>
      </c>
      <c r="J81" s="213" t="s">
        <v>92</v>
      </c>
      <c r="K81" s="213">
        <f>$C$2-C81</f>
        <v>30</v>
      </c>
      <c r="L81" s="217" cm="1">
        <f t="array" ref="L81">ImpliedVolatility_kris("c",E81,$C$3,K81/365,$C$4,$C$4,H81,0.01)</f>
        <v>1.9137285245239775</v>
      </c>
    </row>
    <row r="82" spans="2:12" x14ac:dyDescent="0.25">
      <c r="C82" s="212">
        <v>45434</v>
      </c>
      <c r="D82" s="213" t="s">
        <v>57</v>
      </c>
      <c r="E82" s="214">
        <v>21.04</v>
      </c>
      <c r="F82" s="215">
        <v>-0.05</v>
      </c>
      <c r="G82" s="213" t="s">
        <v>94</v>
      </c>
      <c r="H82" s="214">
        <v>5</v>
      </c>
      <c r="I82" s="216">
        <v>5000</v>
      </c>
      <c r="J82" s="213" t="s">
        <v>92</v>
      </c>
      <c r="K82" s="213">
        <f>$C$2-C82</f>
        <v>30</v>
      </c>
      <c r="L82" s="217" cm="1">
        <f t="array" ref="L82">ImpliedVolatility_kris("c",E82,$C$3,K82/365,$C$4,$C$4,H82,0.01)</f>
        <v>1.9251833047113274</v>
      </c>
    </row>
    <row r="83" spans="2:12" x14ac:dyDescent="0.25">
      <c r="C83" s="224">
        <v>45433</v>
      </c>
      <c r="D83" s="225" t="s">
        <v>57</v>
      </c>
      <c r="E83" s="226">
        <v>22.28</v>
      </c>
      <c r="F83" s="227">
        <v>-0.1</v>
      </c>
      <c r="G83" s="225" t="s">
        <v>95</v>
      </c>
      <c r="H83" s="226">
        <v>5.75</v>
      </c>
      <c r="I83" s="228">
        <v>5000</v>
      </c>
      <c r="J83" s="225" t="s">
        <v>96</v>
      </c>
      <c r="K83" s="225">
        <f>$C$2-C83</f>
        <v>31</v>
      </c>
      <c r="L83" s="229" cm="1">
        <f t="array" ref="L83">ImpliedVolatility_kris("c",E83,$C$3,K83/365,$C$4,$C$4,H83,0.01)</f>
        <v>1.8618377692627592</v>
      </c>
    </row>
    <row r="84" spans="2:12" x14ac:dyDescent="0.25">
      <c r="C84" s="212">
        <v>45433</v>
      </c>
      <c r="D84" s="213" t="s">
        <v>57</v>
      </c>
      <c r="E84" s="214">
        <v>21.7</v>
      </c>
      <c r="F84" s="215">
        <v>-0.08</v>
      </c>
      <c r="G84" s="213" t="s">
        <v>97</v>
      </c>
      <c r="H84" s="214">
        <v>5.5</v>
      </c>
      <c r="I84" s="216">
        <v>5000</v>
      </c>
      <c r="J84" s="213" t="s">
        <v>64</v>
      </c>
      <c r="K84" s="213">
        <f>$C$2-C84</f>
        <v>31</v>
      </c>
      <c r="L84" s="217" cm="1">
        <f t="array" ref="L84">ImpliedVolatility_kris("c",E84,$C$3,K84/365,$C$4,$C$4,H84,0.01)</f>
        <v>1.9232068880289164</v>
      </c>
    </row>
    <row r="85" spans="2:12" x14ac:dyDescent="0.25">
      <c r="C85" s="212">
        <v>45433</v>
      </c>
      <c r="D85" s="213" t="s">
        <v>57</v>
      </c>
      <c r="E85" s="214">
        <v>21.27</v>
      </c>
      <c r="F85" s="215">
        <v>-0.06</v>
      </c>
      <c r="G85" s="213" t="s">
        <v>98</v>
      </c>
      <c r="H85" s="214">
        <v>4.95</v>
      </c>
      <c r="I85" s="216">
        <v>5000</v>
      </c>
      <c r="J85" s="213" t="s">
        <v>99</v>
      </c>
      <c r="K85" s="213">
        <f>$C$2-C85</f>
        <v>31</v>
      </c>
      <c r="L85" s="217" cm="1">
        <f t="array" ref="L85">ImpliedVolatility_kris("c",E85,$C$3,K85/365,$C$4,$C$4,H85,0.01)</f>
        <v>1.8072807871578243</v>
      </c>
    </row>
    <row r="86" spans="2:12" x14ac:dyDescent="0.25">
      <c r="C86" s="212">
        <v>45433</v>
      </c>
      <c r="D86" s="213" t="s">
        <v>62</v>
      </c>
      <c r="E86" s="214">
        <v>21.65</v>
      </c>
      <c r="F86" s="215">
        <v>-0.08</v>
      </c>
      <c r="G86" s="213" t="s">
        <v>100</v>
      </c>
      <c r="H86" s="214">
        <v>5</v>
      </c>
      <c r="I86" s="216">
        <v>5000</v>
      </c>
      <c r="J86" s="213" t="s">
        <v>92</v>
      </c>
      <c r="K86" s="213">
        <f>$C$2-C86</f>
        <v>31</v>
      </c>
      <c r="L86" s="217" cm="1">
        <f t="array" ref="L86">ImpliedVolatility_kris("c",E86,$C$3,K86/365,$C$4,$C$4,H86,0.01)</f>
        <v>1.7212882670536924</v>
      </c>
    </row>
    <row r="87" spans="2:12" x14ac:dyDescent="0.25">
      <c r="C87" s="224">
        <v>45432</v>
      </c>
      <c r="D87" s="225" t="s">
        <v>57</v>
      </c>
      <c r="E87" s="226">
        <v>20.88</v>
      </c>
      <c r="F87" s="227">
        <v>-0.04</v>
      </c>
      <c r="G87" s="225" t="s">
        <v>101</v>
      </c>
      <c r="H87" s="226">
        <v>4.8499999999999996</v>
      </c>
      <c r="I87" s="228">
        <v>5000</v>
      </c>
      <c r="J87" s="225" t="s">
        <v>102</v>
      </c>
      <c r="K87" s="225">
        <f>$C$2-C87</f>
        <v>32</v>
      </c>
      <c r="L87" s="229" cm="1">
        <f t="array" ref="L87">ImpliedVolatility_kris("c",E87,$C$3,K87/365,$C$4,$C$4,H87,0.01)</f>
        <v>1.8436026128861942</v>
      </c>
    </row>
    <row r="88" spans="2:12" x14ac:dyDescent="0.25">
      <c r="C88" s="212">
        <v>45432</v>
      </c>
      <c r="D88" s="213" t="s">
        <v>57</v>
      </c>
      <c r="E88" s="214">
        <v>20.67</v>
      </c>
      <c r="F88" s="215">
        <v>-0.03</v>
      </c>
      <c r="G88" s="213" t="s">
        <v>103</v>
      </c>
      <c r="H88" s="214">
        <v>4.5999999999999996</v>
      </c>
      <c r="I88" s="216">
        <v>5000</v>
      </c>
      <c r="J88" s="213" t="s">
        <v>104</v>
      </c>
      <c r="K88" s="213">
        <f>$C$2-C88</f>
        <v>32</v>
      </c>
      <c r="L88" s="217" cm="1">
        <f t="array" ref="L88">ImpliedVolatility_kris("c",E88,$C$3,K88/365,$C$4,$C$4,H88,0.01)</f>
        <v>1.7930686907837048</v>
      </c>
    </row>
    <row r="91" spans="2:12" x14ac:dyDescent="0.25">
      <c r="B91" s="249" t="s">
        <v>40</v>
      </c>
      <c r="C91" s="252">
        <v>45464</v>
      </c>
    </row>
    <row r="92" spans="2:12" x14ac:dyDescent="0.25">
      <c r="B92" s="250" t="s">
        <v>0</v>
      </c>
      <c r="C92" s="253">
        <v>20</v>
      </c>
      <c r="I92" s="112" t="s">
        <v>111</v>
      </c>
    </row>
    <row r="93" spans="2:12" x14ac:dyDescent="0.25">
      <c r="B93" s="251" t="s">
        <v>24</v>
      </c>
      <c r="C93" s="254">
        <v>0</v>
      </c>
      <c r="I93" s="115">
        <v>45443</v>
      </c>
    </row>
    <row r="94" spans="2:12" x14ac:dyDescent="0.25">
      <c r="I94" s="123">
        <v>45442</v>
      </c>
    </row>
    <row r="95" spans="2:12" x14ac:dyDescent="0.25">
      <c r="I95" s="123">
        <v>45441</v>
      </c>
    </row>
    <row r="96" spans="2:12" x14ac:dyDescent="0.25">
      <c r="B96" s="255" t="s">
        <v>40</v>
      </c>
      <c r="C96" s="256">
        <v>45464</v>
      </c>
    </row>
    <row r="97" spans="2:3" x14ac:dyDescent="0.25">
      <c r="B97" s="257" t="s">
        <v>0</v>
      </c>
      <c r="C97" s="258">
        <v>20</v>
      </c>
    </row>
    <row r="98" spans="2:3" x14ac:dyDescent="0.25">
      <c r="B98" s="259" t="s">
        <v>24</v>
      </c>
      <c r="C98" s="260">
        <v>0</v>
      </c>
    </row>
    <row r="100" spans="2:3" x14ac:dyDescent="0.25">
      <c r="B100" s="261" t="s">
        <v>40</v>
      </c>
      <c r="C100" s="262">
        <v>45464</v>
      </c>
    </row>
    <row r="101" spans="2:3" x14ac:dyDescent="0.25">
      <c r="B101" s="263" t="s">
        <v>0</v>
      </c>
      <c r="C101" s="264">
        <v>20</v>
      </c>
    </row>
    <row r="102" spans="2:3" x14ac:dyDescent="0.25">
      <c r="B102" s="265" t="s">
        <v>24</v>
      </c>
      <c r="C102" s="266">
        <v>0</v>
      </c>
    </row>
  </sheetData>
  <mergeCells count="2">
    <mergeCell ref="Z2:AA3"/>
    <mergeCell ref="Z5:AA6"/>
  </mergeCells>
  <phoneticPr fontId="23" type="noConversion"/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D8C9A8F-9D3A-4448-955C-75B93A07ACF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BS</vt:lpstr>
      <vt:lpstr>Delta Hedged Sim</vt:lpstr>
      <vt:lpstr>Sheet10 (3)</vt:lpstr>
      <vt:lpstr>Sheet1</vt:lpstr>
      <vt:lpstr>Sheet10 (4)</vt:lpstr>
      <vt:lpstr>messing around</vt:lpstr>
      <vt:lpstr>design play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kris a</dc:creator>
  <cp:lastModifiedBy>Kris Abdelmessih</cp:lastModifiedBy>
  <dcterms:created xsi:type="dcterms:W3CDTF">2021-03-09T17:42:21Z</dcterms:created>
  <dcterms:modified xsi:type="dcterms:W3CDTF">2024-06-09T08:54:35Z</dcterms:modified>
</cp:coreProperties>
</file>